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Output" sheetId="2" state="visible" r:id="rId4"/>
    <sheet name="RunMatrix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<sst xmlns="http://schemas.openxmlformats.org/spreadsheetml/2006/main" count="1001" uniqueCount="289">
  <si>
    <t xml:space="preserve">ID</t>
  </si>
  <si>
    <t xml:space="preserve">Lineage</t>
  </si>
  <si>
    <t xml:space="preserve">Category</t>
  </si>
  <si>
    <t xml:space="preserve">Axis</t>
  </si>
  <si>
    <t xml:space="preserve">Tier (matched)</t>
  </si>
  <si>
    <t xml:space="preserve">Verification</t>
  </si>
  <si>
    <t xml:space="preserve">Prompt (paste verbatim)</t>
  </si>
  <si>
    <t xml:space="preserve">Designed trap</t>
  </si>
  <si>
    <t xml:space="preserve">Trap tags</t>
  </si>
  <si>
    <t xml:space="preserve">Target artifact</t>
  </si>
  <si>
    <t xml:space="preserve">Fed (matched)</t>
  </si>
  <si>
    <t xml:space="preserve">Fed (heldout)</t>
  </si>
  <si>
    <t xml:space="preserve"># checkers</t>
  </si>
  <si>
    <t xml:space="preserve">AV01</t>
  </si>
  <si>
    <t xml:space="preserve">new</t>
  </si>
  <si>
    <t xml:space="preserve">Availability</t>
  </si>
  <si>
    <t xml:space="preserve">READ</t>
  </si>
  <si>
    <t xml:space="preserve">T1</t>
  </si>
  <si>
    <t xml:space="preserve">V1</t>
  </si>
  <si>
    <t xml:space="preserve">Print the device_name of every raspberrypi4-64 device on CHI@Edge that is free to reserve right now (one per line).</t>
  </si>
  <si>
    <t xml:space="preserve">filter_reserved=False (or omitted) lists reserved devices too.</t>
  </si>
  <si>
    <t xml:space="preserve">live_state</t>
  </si>
  <si>
    <t xml:space="preserve">A2</t>
  </si>
  <si>
    <t xml:space="preserve">AV02</t>
  </si>
  <si>
    <t xml:space="preserve">Print True if the device iot-rpi4-picam2 is free to reserve right now on CHI@Edge, otherwise print False.</t>
  </si>
  <si>
    <t xml:space="preserve">Static answers; direction bug on filter_reserved.</t>
  </si>
  <si>
    <t xml:space="preserve">AV03</t>
  </si>
  <si>
    <t xml:space="preserve">Print a single integer: how many CHI@Edge devices are free to reserve right now, across all device types.</t>
  </si>
  <si>
    <t xml:space="preserve">Counting all enrolled devices instead of free ones.</t>
  </si>
  <si>
    <t xml:space="preserve">AV04</t>
  </si>
  <si>
    <t xml:space="preserve">T4</t>
  </si>
  <si>
    <t xml:space="preserve">Print the device_name of every currently-free CHI@Edge device that supports the pi_sensehat device profile.</t>
  </si>
  <si>
    <t xml:space="preserve">supported_device_profiles is not documented in the tutorials; guessing device names instead of filtering by profile.</t>
  </si>
  <si>
    <t xml:space="preserve">A2, A3</t>
  </si>
  <si>
    <t xml:space="preserve">N01</t>
  </si>
  <si>
    <t xml:space="preserve">Multi-device</t>
  </si>
  <si>
    <t xml:space="preserve">ACT</t>
  </si>
  <si>
    <t xml:space="preserve">T2</t>
  </si>
  <si>
    <t xml:space="preserve">V0</t>
  </si>
  <si>
    <t xml:space="preserve">Reserve three raspberrypi4-64 devices on CHI@Edge for 6 hours in one lease, and launch an SSH-enabled container on the lease so I can log in as root.</t>
  </si>
  <si>
    <t xml:space="preserve">Adapted count and duration; bare-metal substitution; SSH image.</t>
  </si>
  <si>
    <t xml:space="preserve">bare_metal_api, magic_image</t>
  </si>
  <si>
    <t xml:space="preserve">A1</t>
  </si>
  <si>
    <t xml:space="preserve">N02</t>
  </si>
  <si>
    <t xml:space="preserve">Peripherals · Camera</t>
  </si>
  <si>
    <t xml:space="preserve">Record a 10-second 720p video at 30 fps from the Pi camera and download it to my machine.</t>
  </si>
  <si>
    <t xml:space="preserve">All three rpicam-vid parameters adapted from the tutorial values.</t>
  </si>
  <si>
    <t xml:space="preserve">magic_command</t>
  </si>
  <si>
    <t xml:space="preserve">A1, A3, A6</t>
  </si>
  <si>
    <t xml:space="preserve">N03</t>
  </si>
  <si>
    <t xml:space="preserve">Give me a 12-hour lease on a camera-equipped Pi and capture a 640x480 still from it.</t>
  </si>
  <si>
    <t xml:space="preserve">Duration and resolution adapted; peripheral discovery still required.</t>
  </si>
  <si>
    <t xml:space="preserve">magic_profile, live_state, magic_command</t>
  </si>
  <si>
    <t xml:space="preserve">N04</t>
  </si>
  <si>
    <t xml:space="preserve">Peripherals · GPIO</t>
  </si>
  <si>
    <t xml:space="preserve">VALIDATE</t>
  </si>
  <si>
    <t xml:space="preserve">The Waveshare Sense HAT (B) is attached to iot-rpi-cm4-02. Reserve that device and launch the sensor container configured so the GPIO libraries work despite the missing devicetree info inside containers; then list what's on the I2C bus.</t>
  </si>
  <si>
    <t xml:space="preserve">Choosing pi_sensehat because 'Sense HAT' is in the name (the Waveshare variant needs pi_gpio + three env-var workarounds).</t>
  </si>
  <si>
    <t xml:space="preserve">magic_profile, env_workaround</t>
  </si>
  <si>
    <t xml:space="preserve">A3</t>
  </si>
  <si>
    <t xml:space="preserve">A1, A2</t>
  </si>
  <si>
    <t xml:space="preserve">N05</t>
  </si>
  <si>
    <t xml:space="preserve">GPU / LLM</t>
  </si>
  <si>
    <t xml:space="preserve">I already have an active CHI@Edge lease named 'my-llm-lease' on a GPU-capable device. Launch an Ollama container on it with GPU support, exposing only the Ollama API port, and give it a public IP.</t>
  </si>
  <si>
    <t xml:space="preserve">Missing runtime='nvidia'; wrong port; re-creating the lease.</t>
  </si>
  <si>
    <t xml:space="preserve">gpu_runtime, existing_lease</t>
  </si>
  <si>
    <t xml:space="preserve">A4</t>
  </si>
  <si>
    <t xml:space="preserve">A1, A2, A3</t>
  </si>
  <si>
    <t xml:space="preserve">N06</t>
  </si>
  <si>
    <t xml:space="preserve">API translation</t>
  </si>
  <si>
    <t xml:space="preserve">Our old tutorial script below uses the deprecated imperative python-chi style. Rewrite it using the current object-oriented API (lease.Lease / container.Container), keeping the behavior identical.
```python
import chi
from chi import lease, container
chi.use_site("CHI@Edge")
chi.set("project_name", "CHI-000000")
res = []
lease.add_device_reservation(res, machine_name="raspberrypi4-64", count=1)
start_date, end_date = lease.lease_duration(days=0, hours=10)
l = lease.create_lease("demo-lease", res, start_date=start_date, end_date=end_date)
lease.wait_for_active(l["id"])
my_container = container.create_container(
    "demo-app", image="python:3.9-slim",
    reservation_id=lease.get_device_reservation(l["id"]),
    exposed_ports=[22], platform_version=2,
)
```</t>
  </si>
  <si>
    <t xml:space="preserve">Keeping create_lease/create_container; losing the 10-hour duration or reservation wiring in translation.</t>
  </si>
  <si>
    <t xml:space="preserve">api_generation, reservation_wiring</t>
  </si>
  <si>
    <t xml:space="preserve">N07</t>
  </si>
  <si>
    <t xml:space="preserve">Reserve two Raspberry Pi 4s in one CHI@Edge lease and start an SSH-enabled container on each of them.</t>
  </si>
  <si>
    <t xml:space="preserve">One reservation but only one container; separate leases per device.</t>
  </si>
  <si>
    <t xml:space="preserve">bare_metal_api, multi_container</t>
  </si>
  <si>
    <t xml:space="preserve">N08</t>
  </si>
  <si>
    <t xml:space="preserve">Existing lease</t>
  </si>
  <si>
    <t xml:space="preserve">My lease 'serve-edge-vr' is already active on a Raspberry Pi 5. Launch the Jupyter minimal-notebook container on it, give it a public IP, and show me how to find the notebook's token URL from the container logs.</t>
  </si>
  <si>
    <t xml:space="preserve">Re-creating the lease; missing get_logs; wrong image/port.</t>
  </si>
  <si>
    <t xml:space="preserve">existing_lease, magic_image</t>
  </si>
  <si>
    <t xml:space="preserve">A5</t>
  </si>
  <si>
    <t xml:space="preserve">N09</t>
  </si>
  <si>
    <t xml:space="preserve">Composition</t>
  </si>
  <si>
    <t xml:space="preserve">T3</t>
  </si>
  <si>
    <t xml:space="preserve">Reserve a camera-equipped Pi, start the camera container, and retrofit SSH access into it (port 22, my public key, root login) so a teammate can log in and run captures themselves.</t>
  </si>
  <si>
    <t xml:space="preserve">Camera image has no sshd; must be installed at runtime (edge-cpu-inference pattern) while keeping the pi_libcamera profile.</t>
  </si>
  <si>
    <t xml:space="preserve">composition, magic_profile, key_injection</t>
  </si>
  <si>
    <t xml:space="preserve">A2, A6</t>
  </si>
  <si>
    <t xml:space="preserve">N10</t>
  </si>
  <si>
    <t xml:space="preserve">The device iot-rpi4-picam3 has both a camera module and a Sense HAT attached. Reserve it and launch ONE container that can access both peripherals; then verify each (list cameras; probe the sensor bus).</t>
  </si>
  <si>
    <t xml:space="preserve">device_profiles is a list and can carry both profiles; models tend to pick one profile or launch two containers.</t>
  </si>
  <si>
    <t xml:space="preserve">composition, magic_profile</t>
  </si>
  <si>
    <t xml:space="preserve">N11</t>
  </si>
  <si>
    <t xml:space="preserve">Reserve the Pi 5 named nyu-rpi5-03 for exactly 2 hours using python-chi (no Horizon GUI), then launch the Jupyter minimal-notebook container on it with port 8888 and a public IP.</t>
  </si>
  <si>
    <t xml:space="preserve">The Pi-5 tutorial only shows GUI leasing; the python-chi device_name lease pattern must come from the camera artifact.</t>
  </si>
  <si>
    <t xml:space="preserve">composition, device_pinning</t>
  </si>
  <si>
    <t xml:space="preserve">A2, A5</t>
  </si>
  <si>
    <t xml:space="preserve">N12</t>
  </si>
  <si>
    <t xml:space="preserve">Capture a photo with the Pi camera, then classify it with the quantized MobileNet TFLite model inside the same container.</t>
  </si>
  <si>
    <t xml:space="preserve">Combining the camera stack (profile/image) with the inference tooling (tflite-runtime, model file) from a different artifact.</t>
  </si>
  <si>
    <t xml:space="preserve">composition, magic_profile, magic_command</t>
  </si>
  <si>
    <t xml:space="preserve">N13</t>
  </si>
  <si>
    <t xml:space="preserve">Our lab standardized on the classic imperative python-chi API. Using ONLY that style (module functions - no Lease/Container classes), reserve one Pi 4 for 10 hours starting now and launch python:3.9-slim on it with SSH installed and reachable from outside.</t>
  </si>
  <si>
    <t xml:space="preserve">platform_version=2 is mandatory on create_container; OO habits leak in.</t>
  </si>
  <si>
    <t xml:space="preserve">api_generation, platform_version</t>
  </si>
  <si>
    <t xml:space="preserve">A6</t>
  </si>
  <si>
    <t xml:space="preserve">N14</t>
  </si>
  <si>
    <t xml:space="preserve">Uncovered peripheral</t>
  </si>
  <si>
    <t xml:space="preserve">REASON</t>
  </si>
  <si>
    <t xml:space="preserve">I want to record audio from a USB microphone plugged into a CHI@Edge Raspberry Pi. Which device profile do I use and how do I set up the container?</t>
  </si>
  <si>
    <t xml:space="preserve">No audio profile is documented anywhere; the correct behavior is discovery or honest abstention, not a fabricated profile string.</t>
  </si>
  <si>
    <t xml:space="preserve">abstention, magic_profile</t>
  </si>
  <si>
    <t xml:space="preserve">N15</t>
  </si>
  <si>
    <t xml:space="preserve">Uncovered specifics</t>
  </si>
  <si>
    <t xml:space="preserve">Reserve any free Raspberry Pi 5 on CHI@Edge by machine type for 3 hours.</t>
  </si>
  <si>
    <t xml:space="preserve">No artifact states the Pi-5 machine_type string (the Pi-5 tutorial leases via GUI UIDs); asserting one is fabrication - discover it.</t>
  </si>
  <si>
    <t xml:space="preserve">live_state, magic_machine_type</t>
  </si>
  <si>
    <t xml:space="preserve">N16</t>
  </si>
  <si>
    <t xml:space="preserve">Run GPU-accelerated inference on a Jetson-class device on CHI@Edge: reserve one and start a CUDA-capable container on it.</t>
  </si>
  <si>
    <t xml:space="preserve">Jetson device_type strings are not in the fed tutorials; GPU access on edge needs runtime='nvidia', which only one artifact shows.</t>
  </si>
  <si>
    <t xml:space="preserve">gpu_runtime, live_state</t>
  </si>
  <si>
    <t xml:space="preserve">A2, A4</t>
  </si>
  <si>
    <t xml:space="preserve">N17</t>
  </si>
  <si>
    <t xml:space="preserve">Uncovered API</t>
  </si>
  <si>
    <t xml:space="preserve">My CHI@Edge lease expires in an hour; extend it by 2 more hours from python-chi.</t>
  </si>
  <si>
    <t xml:space="preserve">No artifact demonstrates lease extension; invented extend/renew methods are the failure mode.</t>
  </si>
  <si>
    <t xml:space="preserve">abstention</t>
  </si>
  <si>
    <t xml:space="preserve">N18</t>
  </si>
  <si>
    <t xml:space="preserve">Use a plain USB (UVC) webcam on a CHI@Edge Pi with OpenCV - what device profile and container setup do I need?</t>
  </si>
  <si>
    <t xml:space="preserve">pi_libcamera covers the CSI camera stack, not UVC; no UVC profile is documented - fabricating one is the failure mode.</t>
  </si>
  <si>
    <t xml:space="preserve">P01</t>
  </si>
  <si>
    <t xml:space="preserve">v3:P01</t>
  </si>
  <si>
    <t xml:space="preserve">Setup</t>
  </si>
  <si>
    <t xml:space="preserve">Show the minimal python-chi setup to target CHI@Edge and select my project.</t>
  </si>
  <si>
    <t xml:space="preserve">chi.use_site vs context; wrong site string; forgets project.</t>
  </si>
  <si>
    <t xml:space="preserve">site_setup</t>
  </si>
  <si>
    <t xml:space="preserve">P02</t>
  </si>
  <si>
    <t xml:space="preserve">v3:P02</t>
  </si>
  <si>
    <t xml:space="preserve">Reservation</t>
  </si>
  <si>
    <t xml:space="preserve">Reserve one Raspberry Pi 4 on CHI@Edge for 2 hours.</t>
  </si>
  <si>
    <t xml:space="preserve">Bare-metal add_node_reservation / node_type.</t>
  </si>
  <si>
    <t xml:space="preserve">bare_metal_api</t>
  </si>
  <si>
    <t xml:space="preserve">P03</t>
  </si>
  <si>
    <t xml:space="preserve">v3:P03</t>
  </si>
  <si>
    <t xml:space="preserve">Reserve a Pi on CHI@Edge and get the reservation_id I'll pass to a container.</t>
  </si>
  <si>
    <t xml:space="preserve">Never retrieves the id; wrong attribute.</t>
  </si>
  <si>
    <t xml:space="preserve">reservation_wiring</t>
  </si>
  <si>
    <t xml:space="preserve">P04</t>
  </si>
  <si>
    <t xml:space="preserve">v3:P04</t>
  </si>
  <si>
    <t xml:space="preserve">Reserve 3 Raspberry Pis on CHI@Edge of the same type in one lease.</t>
  </si>
  <si>
    <t xml:space="preserve">Node reservation; count mishandled.</t>
  </si>
  <si>
    <t xml:space="preserve">bare_metal_api, count_handling</t>
  </si>
  <si>
    <t xml:space="preserve">P05</t>
  </si>
  <si>
    <t xml:space="preserve">v3:P05</t>
  </si>
  <si>
    <t xml:space="preserve">Container</t>
  </si>
  <si>
    <t xml:space="preserve">Launch a basic Ubuntu container on a reserved Pi on CHI@Edge.</t>
  </si>
  <si>
    <t xml:space="preserve">create_server (VM) instead of a container.</t>
  </si>
  <si>
    <t xml:space="preserve">wrong_container_api, k8s_naming</t>
  </si>
  <si>
    <t xml:space="preserve">P06</t>
  </si>
  <si>
    <t xml:space="preserve">v3:P06</t>
  </si>
  <si>
    <t xml:space="preserve">My container on CHI@Edge exits immediately. Make it stay running so I can exec into it.</t>
  </si>
  <si>
    <t xml:space="preserve">No long-running command given.</t>
  </si>
  <si>
    <t xml:space="preserve">keepalive_command</t>
  </si>
  <si>
    <t xml:space="preserve">P07</t>
  </si>
  <si>
    <t xml:space="preserve">v3:P07</t>
  </si>
  <si>
    <t xml:space="preserve">Expose port 8080 on my CHI@edge container and give it a public IP.</t>
  </si>
  <si>
    <t xml:space="preserve">exposed_ports string format; FIP omitted; nova idioms.</t>
  </si>
  <si>
    <t xml:space="preserve">port_exposure, floating_ip</t>
  </si>
  <si>
    <t xml:space="preserve">P08</t>
  </si>
  <si>
    <t xml:space="preserve">v3:P08</t>
  </si>
  <si>
    <t xml:space="preserve">Run 'ls /app' inside the running container in CHI@Edge and capture the output.</t>
  </si>
  <si>
    <t xml:space="preserve">Hallucinated exec API; ignores tuple return.</t>
  </si>
  <si>
    <t xml:space="preserve">exec_api, return_shape</t>
  </si>
  <si>
    <t xml:space="preserve">P09</t>
  </si>
  <si>
    <t xml:space="preserve">v3:P09</t>
  </si>
  <si>
    <t xml:space="preserve">Upload model.pt into the CHI@Edge container, then download results.csv back out.</t>
  </si>
  <si>
    <t xml:space="preserve">Invented up/download names.</t>
  </si>
  <si>
    <t xml:space="preserve">file_transfer_api</t>
  </si>
  <si>
    <t xml:space="preserve">P10</t>
  </si>
  <si>
    <t xml:space="preserve">v3:P10</t>
  </si>
  <si>
    <t xml:space="preserve">Tear everything down: remove the CHI@Edge container and free the device.</t>
  </si>
  <si>
    <t xml:space="preserve">Invented teardown; leaves the lease.</t>
  </si>
  <si>
    <t xml:space="preserve">teardown</t>
  </si>
  <si>
    <t xml:space="preserve">P11</t>
  </si>
  <si>
    <t xml:space="preserve">v3:P11</t>
  </si>
  <si>
    <t xml:space="preserve">SSH / Dev</t>
  </si>
  <si>
    <t xml:space="preserve">Launch an SSH-enabled container on a reserved Pi and tell me how to connect.</t>
  </si>
  <si>
    <t xml:space="preserve">Doesn't know edge_ssh_image; wrong port type.</t>
  </si>
  <si>
    <t xml:space="preserve">magic_image, port_exposure, floating_ip</t>
  </si>
  <si>
    <t xml:space="preserve">P12</t>
  </si>
  <si>
    <t xml:space="preserve">v3:P12</t>
  </si>
  <si>
    <t xml:space="preserve">Inject my public key so I can SSH in as root.</t>
  </si>
  <si>
    <t xml:space="preserve">Wrong key path / mechanism.</t>
  </si>
  <si>
    <t xml:space="preserve">key_injection</t>
  </si>
  <si>
    <t xml:space="preserve">P13</t>
  </si>
  <si>
    <t xml:space="preserve">v3:P13</t>
  </si>
  <si>
    <t xml:space="preserve">Which image and exposed port do I need for SSH on CHI@Edge?</t>
  </si>
  <si>
    <t xml:space="preserve">Generic sshd build; misses prebuilt image.</t>
  </si>
  <si>
    <t xml:space="preserve">magic_image</t>
  </si>
  <si>
    <t xml:space="preserve">P14</t>
  </si>
  <si>
    <t xml:space="preserve">v3:P14</t>
  </si>
  <si>
    <t xml:space="preserve">End-to-end: get me a Pi on CHI@Edge I can hit with VS Code Remote-SSH.</t>
  </si>
  <si>
    <t xml:space="preserve">Drops a link in reserve-&gt;image-&gt;key-&gt;FIP chain.</t>
  </si>
  <si>
    <t xml:space="preserve">bare_metal_api, magic_image, key_injection, floating_ip</t>
  </si>
  <si>
    <t xml:space="preserve">P15</t>
  </si>
  <si>
    <t xml:space="preserve">v3:P15</t>
  </si>
  <si>
    <t xml:space="preserve">Find which Pis have a camera attached and reserve one.</t>
  </si>
  <si>
    <t xml:space="preserve">Can't filter by peripheral; guesses device.</t>
  </si>
  <si>
    <t xml:space="preserve">live_state, peripheral_discovery</t>
  </si>
  <si>
    <t xml:space="preserve">P16</t>
  </si>
  <si>
    <t xml:space="preserve">v3:P16</t>
  </si>
  <si>
    <t xml:space="preserve">Launch a container with the Pi camera enabled.</t>
  </si>
  <si>
    <t xml:space="preserve">Omits device_profiles; guesses the profile name.</t>
  </si>
  <si>
    <t xml:space="preserve">magic_profile, magic_image, keepalive_command</t>
  </si>
  <si>
    <t xml:space="preserve">A1, A3</t>
  </si>
  <si>
    <t xml:space="preserve">P17</t>
  </si>
  <si>
    <t xml:space="preserve">v3:P17</t>
  </si>
  <si>
    <t xml:space="preserve">Capture a 1080p still from the Pi Camera and download it.</t>
  </si>
  <si>
    <t xml:space="preserve">Made-up capture API; no download.</t>
  </si>
  <si>
    <t xml:space="preserve">P18</t>
  </si>
  <si>
    <t xml:space="preserve">v3:P18</t>
  </si>
  <si>
    <t xml:space="preserve">Record a 5-second 1080p video from the camera.</t>
  </si>
  <si>
    <t xml:space="preserve">Wrong tool / flags.</t>
  </si>
  <si>
    <t xml:space="preserve">P19</t>
  </si>
  <si>
    <t xml:space="preserve">v3:P19</t>
  </si>
  <si>
    <t xml:space="preserve">Verify the camera is detected inside the container.</t>
  </si>
  <si>
    <t xml:space="preserve">Invents a detection command.</t>
  </si>
  <si>
    <t xml:space="preserve">P20</t>
  </si>
  <si>
    <t xml:space="preserve">v3:P20</t>
  </si>
  <si>
    <t xml:space="preserve">Peripherals · Sense HAT</t>
  </si>
  <si>
    <t xml:space="preserve">Reserve the specific device that has the Sense HAT attached.</t>
  </si>
  <si>
    <t xml:space="preserve">Reserves any device; ignores device_name.</t>
  </si>
  <si>
    <t xml:space="preserve">device_pinning</t>
  </si>
  <si>
    <t xml:space="preserve">P21</t>
  </si>
  <si>
    <t xml:space="preserve">v3:P21</t>
  </si>
  <si>
    <t xml:space="preserve">Launch a container with the Sense HAT enabled.</t>
  </si>
  <si>
    <t xml:space="preserve">Omits / guesses the device profile.</t>
  </si>
  <si>
    <t xml:space="preserve">magic_profile, magic_image</t>
  </si>
  <si>
    <t xml:space="preserve">P22</t>
  </si>
  <si>
    <t xml:space="preserve">v3:P22</t>
  </si>
  <si>
    <t xml:space="preserve">Read temperature, humidity and pressure from the Sense HAT.</t>
  </si>
  <si>
    <t xml:space="preserve">Assumes host access; wrong library.</t>
  </si>
  <si>
    <t xml:space="preserve">peripheral_library</t>
  </si>
  <si>
    <t xml:space="preserve">P23</t>
  </si>
  <si>
    <t xml:space="preserve">v3:P23</t>
  </si>
  <si>
    <t xml:space="preserve">From inside the container, list the I2C addresses to debug the sensor bus.</t>
  </si>
  <si>
    <t xml:space="preserve">No I2C access path.</t>
  </si>
  <si>
    <t xml:space="preserve">P24</t>
  </si>
  <si>
    <t xml:space="preserve">v3:P24</t>
  </si>
  <si>
    <t xml:space="preserve">Which device profile and image do I use for Sense HAT / GPIO work?</t>
  </si>
  <si>
    <t xml:space="preserve">Guesses the profile string.</t>
  </si>
  <si>
    <t xml:space="preserve">P25</t>
  </si>
  <si>
    <t xml:space="preserve">v3:P25</t>
  </si>
  <si>
    <t xml:space="preserve">List which CHI@Edge device types currently exist and are reservable.</t>
  </si>
  <si>
    <t xml:space="preserve">Lists bare-metal flavors; invents an endpoint.</t>
  </si>
  <si>
    <t xml:space="preserve">P26</t>
  </si>
  <si>
    <t xml:space="preserve">v3:P26</t>
  </si>
  <si>
    <t xml:space="preserve">Before reserving on CHI@Edge, check whether a given device is free right now.</t>
  </si>
  <si>
    <t xml:space="preserve">Claims it has no live state; fabricates an API.</t>
  </si>
  <si>
    <t xml:space="preserve">P27</t>
  </si>
  <si>
    <t xml:space="preserve">v3:P27</t>
  </si>
  <si>
    <t xml:space="preserve">How do I find which device_profiles a device supports?</t>
  </si>
  <si>
    <t xml:space="preserve">Guesses a call.</t>
  </si>
  <si>
    <t xml:space="preserve">live_state, magic_profile</t>
  </si>
  <si>
    <t xml:space="preserve">P28</t>
  </si>
  <si>
    <t xml:space="preserve">v3:P28</t>
  </si>
  <si>
    <t xml:space="preserve">Pitfall trap</t>
  </si>
  <si>
    <t xml:space="preserve">Convert my CHI@UC bare-metal script (add_node_reservation, node_type='compute_skylake', create_server) to run on CHI@Edge.</t>
  </si>
  <si>
    <t xml:space="preserve">Keeps node/flavor/server.</t>
  </si>
  <si>
    <t xml:space="preserve">bare_metal_api, wrong_container_api</t>
  </si>
  <si>
    <t xml:space="preserve">Condition</t>
  </si>
  <si>
    <t xml:space="preserve">System</t>
  </si>
  <si>
    <t xml:space="preserve">Model output (paste here)</t>
  </si>
  <si>
    <t xml:space="preserve">Checker verdict (harness)</t>
  </si>
  <si>
    <t xml:space="preserve">Human 0-2</t>
  </si>
  <si>
    <t xml:space="preserve">Failure tag</t>
  </si>
  <si>
    <t xml:space="preserve">Notes</t>
  </si>
  <si>
    <t xml:space="preserve">Fed artifacts</t>
  </si>
  <si>
    <t xml:space="preserve">Computed tier</t>
  </si>
  <si>
    <t xml:space="preserve">blind</t>
  </si>
  <si>
    <t xml:space="preserve">matched</t>
  </si>
  <si>
    <t xml:space="preserve">heldout</t>
  </si>
  <si>
    <t xml:space="preserve">uncovered</t>
  </si>
  <si>
    <t xml:space="preserve">Results summary (auto-computes as the Output sheet is graded)</t>
  </si>
  <si>
    <t xml:space="preserve">Graded cells</t>
  </si>
  <si>
    <t xml:space="preserve">Checker pass rate</t>
  </si>
  <si>
    <t xml:space="preserve">Mean human 0-2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</si>
</sst>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70"/>
    <col collapsed="false" customWidth="true" hidden="false" outlineLevel="0" max="8" min="8" style="0" width="45"/>
    <col collapsed="false" customWidth="true" hidden="false" outlineLevel="0" max="9" min="9" style="0" width="28"/>
    <col collapsed="false" customWidth="true" hidden="false" outlineLevel="0" max="12" min="10" style="0" width="12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6.8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19</v>
      </c>
      <c r="H2" s="3" t="s">
        <v>20</v>
      </c>
      <c r="I2" s="2" t="s">
        <v>21</v>
      </c>
      <c r="J2" s="2" t="s">
        <v>22</v>
      </c>
      <c r="K2" s="2" t="s">
        <v>22</v>
      </c>
      <c r="L2" s="2"/>
      <c r="M2" s="2" t="n">
        <v>1</v>
      </c>
    </row>
    <row r="3" customFormat="false" ht="26.85" hidden="false" customHeight="false" outlineLevel="0" collapsed="false">
      <c r="A3" s="2" t="s">
        <v>23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24</v>
      </c>
      <c r="H3" s="3" t="s">
        <v>25</v>
      </c>
      <c r="I3" s="2" t="s">
        <v>21</v>
      </c>
      <c r="J3" s="2" t="s">
        <v>22</v>
      </c>
      <c r="K3" s="2" t="s">
        <v>22</v>
      </c>
      <c r="L3" s="2"/>
      <c r="M3" s="2" t="n">
        <v>1</v>
      </c>
    </row>
    <row r="4" customFormat="false" ht="26.85" hidden="false" customHeight="false" outlineLevel="0" collapsed="false">
      <c r="A4" s="2" t="s">
        <v>26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3" t="s">
        <v>27</v>
      </c>
      <c r="H4" s="3" t="s">
        <v>28</v>
      </c>
      <c r="I4" s="2" t="s">
        <v>21</v>
      </c>
      <c r="J4" s="2" t="s">
        <v>22</v>
      </c>
      <c r="K4" s="2" t="s">
        <v>22</v>
      </c>
      <c r="L4" s="2"/>
      <c r="M4" s="2" t="n">
        <v>1</v>
      </c>
    </row>
    <row r="5" customFormat="false" ht="39.55" hidden="false" customHeight="false" outlineLevel="0" collapsed="false">
      <c r="A5" s="2" t="s">
        <v>29</v>
      </c>
      <c r="B5" s="2" t="s">
        <v>14</v>
      </c>
      <c r="C5" s="2" t="s">
        <v>15</v>
      </c>
      <c r="D5" s="2" t="s">
        <v>16</v>
      </c>
      <c r="E5" s="2" t="s">
        <v>30</v>
      </c>
      <c r="F5" s="2" t="s">
        <v>18</v>
      </c>
      <c r="G5" s="3" t="s">
        <v>31</v>
      </c>
      <c r="H5" s="3" t="s">
        <v>32</v>
      </c>
      <c r="I5" s="2" t="s">
        <v>21</v>
      </c>
      <c r="J5" s="2" t="s">
        <v>22</v>
      </c>
      <c r="K5" s="2" t="s">
        <v>33</v>
      </c>
      <c r="L5" s="2"/>
      <c r="M5" s="2" t="n">
        <v>2</v>
      </c>
    </row>
    <row r="6" customFormat="false" ht="39.55" hidden="false" customHeight="false" outlineLevel="0" collapsed="false">
      <c r="A6" s="2" t="s">
        <v>34</v>
      </c>
      <c r="B6" s="2" t="s">
        <v>14</v>
      </c>
      <c r="C6" s="2" t="s">
        <v>35</v>
      </c>
      <c r="D6" s="2" t="s">
        <v>36</v>
      </c>
      <c r="E6" s="2" t="s">
        <v>37</v>
      </c>
      <c r="F6" s="2" t="s">
        <v>38</v>
      </c>
      <c r="G6" s="3" t="s">
        <v>39</v>
      </c>
      <c r="H6" s="3" t="s">
        <v>40</v>
      </c>
      <c r="I6" s="2" t="s">
        <v>41</v>
      </c>
      <c r="J6" s="2" t="s">
        <v>42</v>
      </c>
      <c r="K6" s="2" t="s">
        <v>42</v>
      </c>
      <c r="L6" s="2"/>
      <c r="M6" s="2" t="n">
        <v>11</v>
      </c>
    </row>
    <row r="7" customFormat="false" ht="26.85" hidden="false" customHeight="false" outlineLevel="0" collapsed="false">
      <c r="A7" s="2" t="s">
        <v>43</v>
      </c>
      <c r="B7" s="2" t="s">
        <v>14</v>
      </c>
      <c r="C7" s="2" t="s">
        <v>44</v>
      </c>
      <c r="D7" s="2" t="s">
        <v>36</v>
      </c>
      <c r="E7" s="2" t="s">
        <v>37</v>
      </c>
      <c r="F7" s="2" t="s">
        <v>38</v>
      </c>
      <c r="G7" s="3" t="s">
        <v>45</v>
      </c>
      <c r="H7" s="3" t="s">
        <v>46</v>
      </c>
      <c r="I7" s="2" t="s">
        <v>47</v>
      </c>
      <c r="J7" s="2" t="s">
        <v>22</v>
      </c>
      <c r="K7" s="2" t="s">
        <v>22</v>
      </c>
      <c r="L7" s="2" t="s">
        <v>48</v>
      </c>
      <c r="M7" s="2" t="n">
        <v>6</v>
      </c>
    </row>
    <row r="8" customFormat="false" ht="26.85" hidden="false" customHeight="false" outlineLevel="0" collapsed="false">
      <c r="A8" s="2" t="s">
        <v>49</v>
      </c>
      <c r="B8" s="2" t="s">
        <v>14</v>
      </c>
      <c r="C8" s="2" t="s">
        <v>44</v>
      </c>
      <c r="D8" s="2" t="s">
        <v>36</v>
      </c>
      <c r="E8" s="2" t="s">
        <v>37</v>
      </c>
      <c r="F8" s="2" t="s">
        <v>38</v>
      </c>
      <c r="G8" s="3" t="s">
        <v>50</v>
      </c>
      <c r="H8" s="3" t="s">
        <v>51</v>
      </c>
      <c r="I8" s="2" t="s">
        <v>52</v>
      </c>
      <c r="J8" s="2" t="s">
        <v>22</v>
      </c>
      <c r="K8" s="2" t="s">
        <v>22</v>
      </c>
      <c r="L8" s="2"/>
      <c r="M8" s="2" t="n">
        <v>11</v>
      </c>
    </row>
    <row r="9" customFormat="false" ht="52.2" hidden="false" customHeight="false" outlineLevel="0" collapsed="false">
      <c r="A9" s="2" t="s">
        <v>53</v>
      </c>
      <c r="B9" s="2" t="s">
        <v>14</v>
      </c>
      <c r="C9" s="2" t="s">
        <v>54</v>
      </c>
      <c r="D9" s="2" t="s">
        <v>55</v>
      </c>
      <c r="E9" s="2" t="s">
        <v>17</v>
      </c>
      <c r="F9" s="2" t="s">
        <v>38</v>
      </c>
      <c r="G9" s="3" t="s">
        <v>56</v>
      </c>
      <c r="H9" s="3" t="s">
        <v>57</v>
      </c>
      <c r="I9" s="2" t="s">
        <v>58</v>
      </c>
      <c r="J9" s="2" t="s">
        <v>59</v>
      </c>
      <c r="K9" s="2" t="s">
        <v>59</v>
      </c>
      <c r="L9" s="2" t="s">
        <v>60</v>
      </c>
      <c r="M9" s="2" t="n">
        <v>10</v>
      </c>
    </row>
    <row r="10" customFormat="false" ht="39.55" hidden="false" customHeight="false" outlineLevel="0" collapsed="false">
      <c r="A10" s="2" t="s">
        <v>61</v>
      </c>
      <c r="B10" s="2" t="s">
        <v>14</v>
      </c>
      <c r="C10" s="2" t="s">
        <v>62</v>
      </c>
      <c r="D10" s="2" t="s">
        <v>36</v>
      </c>
      <c r="E10" s="2" t="s">
        <v>37</v>
      </c>
      <c r="F10" s="2" t="s">
        <v>38</v>
      </c>
      <c r="G10" s="3" t="s">
        <v>63</v>
      </c>
      <c r="H10" s="3" t="s">
        <v>64</v>
      </c>
      <c r="I10" s="2" t="s">
        <v>65</v>
      </c>
      <c r="J10" s="2" t="s">
        <v>66</v>
      </c>
      <c r="K10" s="2" t="s">
        <v>66</v>
      </c>
      <c r="L10" s="2" t="s">
        <v>67</v>
      </c>
      <c r="M10" s="2" t="n">
        <v>9</v>
      </c>
    </row>
    <row r="11" customFormat="false" ht="280.55" hidden="false" customHeight="false" outlineLevel="0" collapsed="false">
      <c r="A11" s="2" t="s">
        <v>68</v>
      </c>
      <c r="B11" s="2" t="s">
        <v>14</v>
      </c>
      <c r="C11" s="2" t="s">
        <v>69</v>
      </c>
      <c r="D11" s="2" t="s">
        <v>55</v>
      </c>
      <c r="E11" s="2" t="s">
        <v>17</v>
      </c>
      <c r="F11" s="2" t="s">
        <v>38</v>
      </c>
      <c r="G11" s="3" t="s">
        <v>70</v>
      </c>
      <c r="H11" s="3" t="s">
        <v>71</v>
      </c>
      <c r="I11" s="2" t="s">
        <v>72</v>
      </c>
      <c r="J11" s="2" t="s">
        <v>22</v>
      </c>
      <c r="K11" s="2" t="s">
        <v>22</v>
      </c>
      <c r="L11" s="2"/>
      <c r="M11" s="2" t="n">
        <v>10</v>
      </c>
    </row>
    <row r="12" customFormat="false" ht="26.85" hidden="false" customHeight="false" outlineLevel="0" collapsed="false">
      <c r="A12" s="2" t="s">
        <v>73</v>
      </c>
      <c r="B12" s="2" t="s">
        <v>14</v>
      </c>
      <c r="C12" s="2" t="s">
        <v>35</v>
      </c>
      <c r="D12" s="2" t="s">
        <v>36</v>
      </c>
      <c r="E12" s="2" t="s">
        <v>17</v>
      </c>
      <c r="F12" s="2" t="s">
        <v>38</v>
      </c>
      <c r="G12" s="3" t="s">
        <v>74</v>
      </c>
      <c r="H12" s="3" t="s">
        <v>75</v>
      </c>
      <c r="I12" s="2" t="s">
        <v>76</v>
      </c>
      <c r="J12" s="2" t="s">
        <v>42</v>
      </c>
      <c r="K12" s="2" t="s">
        <v>42</v>
      </c>
      <c r="L12" s="2"/>
      <c r="M12" s="2" t="n">
        <v>9</v>
      </c>
    </row>
    <row r="13" customFormat="false" ht="39.55" hidden="false" customHeight="false" outlineLevel="0" collapsed="false">
      <c r="A13" s="2" t="s">
        <v>77</v>
      </c>
      <c r="B13" s="2" t="s">
        <v>14</v>
      </c>
      <c r="C13" s="2" t="s">
        <v>78</v>
      </c>
      <c r="D13" s="2" t="s">
        <v>36</v>
      </c>
      <c r="E13" s="2" t="s">
        <v>17</v>
      </c>
      <c r="F13" s="2" t="s">
        <v>38</v>
      </c>
      <c r="G13" s="3" t="s">
        <v>79</v>
      </c>
      <c r="H13" s="3" t="s">
        <v>80</v>
      </c>
      <c r="I13" s="2" t="s">
        <v>81</v>
      </c>
      <c r="J13" s="2" t="s">
        <v>82</v>
      </c>
      <c r="K13" s="2" t="s">
        <v>82</v>
      </c>
      <c r="L13" s="2" t="s">
        <v>67</v>
      </c>
      <c r="M13" s="2" t="n">
        <v>8</v>
      </c>
    </row>
    <row r="14" customFormat="false" ht="39.55" hidden="false" customHeight="false" outlineLevel="0" collapsed="false">
      <c r="A14" s="2" t="s">
        <v>83</v>
      </c>
      <c r="B14" s="2" t="s">
        <v>14</v>
      </c>
      <c r="C14" s="2" t="s">
        <v>84</v>
      </c>
      <c r="D14" s="2" t="s">
        <v>36</v>
      </c>
      <c r="E14" s="2" t="s">
        <v>85</v>
      </c>
      <c r="F14" s="2" t="s">
        <v>38</v>
      </c>
      <c r="G14" s="3" t="s">
        <v>86</v>
      </c>
      <c r="H14" s="3" t="s">
        <v>87</v>
      </c>
      <c r="I14" s="2" t="s">
        <v>88</v>
      </c>
      <c r="J14" s="2" t="s">
        <v>89</v>
      </c>
      <c r="K14" s="2" t="s">
        <v>89</v>
      </c>
      <c r="L14" s="2"/>
      <c r="M14" s="2" t="n">
        <v>14</v>
      </c>
    </row>
    <row r="15" customFormat="false" ht="39.55" hidden="false" customHeight="false" outlineLevel="0" collapsed="false">
      <c r="A15" s="2" t="s">
        <v>90</v>
      </c>
      <c r="B15" s="2" t="s">
        <v>14</v>
      </c>
      <c r="C15" s="2" t="s">
        <v>84</v>
      </c>
      <c r="D15" s="2" t="s">
        <v>36</v>
      </c>
      <c r="E15" s="2" t="s">
        <v>85</v>
      </c>
      <c r="F15" s="2" t="s">
        <v>38</v>
      </c>
      <c r="G15" s="3" t="s">
        <v>91</v>
      </c>
      <c r="H15" s="3" t="s">
        <v>92</v>
      </c>
      <c r="I15" s="2" t="s">
        <v>93</v>
      </c>
      <c r="J15" s="2" t="s">
        <v>33</v>
      </c>
      <c r="K15" s="2" t="s">
        <v>33</v>
      </c>
      <c r="L15" s="2"/>
      <c r="M15" s="2" t="n">
        <v>10</v>
      </c>
    </row>
    <row r="16" customFormat="false" ht="39.55" hidden="false" customHeight="false" outlineLevel="0" collapsed="false">
      <c r="A16" s="2" t="s">
        <v>94</v>
      </c>
      <c r="B16" s="2" t="s">
        <v>14</v>
      </c>
      <c r="C16" s="2" t="s">
        <v>84</v>
      </c>
      <c r="D16" s="2" t="s">
        <v>36</v>
      </c>
      <c r="E16" s="2" t="s">
        <v>85</v>
      </c>
      <c r="F16" s="2" t="s">
        <v>38</v>
      </c>
      <c r="G16" s="3" t="s">
        <v>95</v>
      </c>
      <c r="H16" s="3" t="s">
        <v>96</v>
      </c>
      <c r="I16" s="2" t="s">
        <v>97</v>
      </c>
      <c r="J16" s="2" t="s">
        <v>98</v>
      </c>
      <c r="K16" s="2" t="s">
        <v>98</v>
      </c>
      <c r="L16" s="2"/>
      <c r="M16" s="2" t="n">
        <v>10</v>
      </c>
    </row>
    <row r="17" customFormat="false" ht="39.55" hidden="false" customHeight="false" outlineLevel="0" collapsed="false">
      <c r="A17" s="2" t="s">
        <v>99</v>
      </c>
      <c r="B17" s="2" t="s">
        <v>14</v>
      </c>
      <c r="C17" s="2" t="s">
        <v>84</v>
      </c>
      <c r="D17" s="2" t="s">
        <v>36</v>
      </c>
      <c r="E17" s="2" t="s">
        <v>85</v>
      </c>
      <c r="F17" s="2" t="s">
        <v>38</v>
      </c>
      <c r="G17" s="3" t="s">
        <v>100</v>
      </c>
      <c r="H17" s="3" t="s">
        <v>101</v>
      </c>
      <c r="I17" s="2" t="s">
        <v>102</v>
      </c>
      <c r="J17" s="2" t="s">
        <v>89</v>
      </c>
      <c r="K17" s="2" t="s">
        <v>89</v>
      </c>
      <c r="L17" s="2"/>
      <c r="M17" s="2" t="n">
        <v>9</v>
      </c>
    </row>
    <row r="18" customFormat="false" ht="52.2" hidden="false" customHeight="false" outlineLevel="0" collapsed="false">
      <c r="A18" s="2" t="s">
        <v>103</v>
      </c>
      <c r="B18" s="2" t="s">
        <v>14</v>
      </c>
      <c r="C18" s="2" t="s">
        <v>69</v>
      </c>
      <c r="D18" s="2" t="s">
        <v>36</v>
      </c>
      <c r="E18" s="2" t="s">
        <v>17</v>
      </c>
      <c r="F18" s="2" t="s">
        <v>38</v>
      </c>
      <c r="G18" s="3" t="s">
        <v>104</v>
      </c>
      <c r="H18" s="3" t="s">
        <v>105</v>
      </c>
      <c r="I18" s="2" t="s">
        <v>106</v>
      </c>
      <c r="J18" s="2" t="s">
        <v>107</v>
      </c>
      <c r="K18" s="2" t="s">
        <v>107</v>
      </c>
      <c r="L18" s="2" t="s">
        <v>33</v>
      </c>
      <c r="M18" s="2" t="n">
        <v>12</v>
      </c>
    </row>
    <row r="19" customFormat="false" ht="39.55" hidden="false" customHeight="false" outlineLevel="0" collapsed="false">
      <c r="A19" s="2" t="s">
        <v>108</v>
      </c>
      <c r="B19" s="2" t="s">
        <v>14</v>
      </c>
      <c r="C19" s="2" t="s">
        <v>109</v>
      </c>
      <c r="D19" s="2" t="s">
        <v>110</v>
      </c>
      <c r="E19" s="2" t="s">
        <v>30</v>
      </c>
      <c r="F19" s="2" t="s">
        <v>38</v>
      </c>
      <c r="G19" s="3" t="s">
        <v>111</v>
      </c>
      <c r="H19" s="3" t="s">
        <v>112</v>
      </c>
      <c r="I19" s="2" t="s">
        <v>113</v>
      </c>
      <c r="J19" s="2"/>
      <c r="K19" s="2" t="s">
        <v>67</v>
      </c>
      <c r="L19" s="2"/>
      <c r="M19" s="2" t="n">
        <v>3</v>
      </c>
    </row>
    <row r="20" customFormat="false" ht="39.55" hidden="false" customHeight="false" outlineLevel="0" collapsed="false">
      <c r="A20" s="2" t="s">
        <v>114</v>
      </c>
      <c r="B20" s="2" t="s">
        <v>14</v>
      </c>
      <c r="C20" s="2" t="s">
        <v>115</v>
      </c>
      <c r="D20" s="2" t="s">
        <v>16</v>
      </c>
      <c r="E20" s="2" t="s">
        <v>85</v>
      </c>
      <c r="F20" s="2" t="s">
        <v>38</v>
      </c>
      <c r="G20" s="3" t="s">
        <v>116</v>
      </c>
      <c r="H20" s="3" t="s">
        <v>117</v>
      </c>
      <c r="I20" s="2" t="s">
        <v>118</v>
      </c>
      <c r="J20" s="2" t="s">
        <v>82</v>
      </c>
      <c r="K20" s="2" t="s">
        <v>98</v>
      </c>
      <c r="L20" s="2" t="s">
        <v>67</v>
      </c>
      <c r="M20" s="2" t="n">
        <v>4</v>
      </c>
    </row>
    <row r="21" customFormat="false" ht="39.55" hidden="false" customHeight="false" outlineLevel="0" collapsed="false">
      <c r="A21" s="2" t="s">
        <v>119</v>
      </c>
      <c r="B21" s="2" t="s">
        <v>14</v>
      </c>
      <c r="C21" s="2" t="s">
        <v>62</v>
      </c>
      <c r="D21" s="2" t="s">
        <v>110</v>
      </c>
      <c r="E21" s="2" t="s">
        <v>85</v>
      </c>
      <c r="F21" s="2" t="s">
        <v>38</v>
      </c>
      <c r="G21" s="3" t="s">
        <v>120</v>
      </c>
      <c r="H21" s="3" t="s">
        <v>121</v>
      </c>
      <c r="I21" s="2" t="s">
        <v>122</v>
      </c>
      <c r="J21" s="2" t="s">
        <v>66</v>
      </c>
      <c r="K21" s="2" t="s">
        <v>123</v>
      </c>
      <c r="L21" s="2" t="s">
        <v>67</v>
      </c>
      <c r="M21" s="2" t="n">
        <v>7</v>
      </c>
    </row>
    <row r="22" customFormat="false" ht="39.55" hidden="false" customHeight="false" outlineLevel="0" collapsed="false">
      <c r="A22" s="2" t="s">
        <v>124</v>
      </c>
      <c r="B22" s="2" t="s">
        <v>14</v>
      </c>
      <c r="C22" s="2" t="s">
        <v>125</v>
      </c>
      <c r="D22" s="2" t="s">
        <v>110</v>
      </c>
      <c r="E22" s="2" t="s">
        <v>30</v>
      </c>
      <c r="F22" s="2" t="s">
        <v>38</v>
      </c>
      <c r="G22" s="3" t="s">
        <v>126</v>
      </c>
      <c r="H22" s="3" t="s">
        <v>127</v>
      </c>
      <c r="I22" s="2" t="s">
        <v>128</v>
      </c>
      <c r="J22" s="2"/>
      <c r="K22" s="2" t="s">
        <v>67</v>
      </c>
      <c r="L22" s="2"/>
      <c r="M22" s="2" t="n">
        <v>2</v>
      </c>
    </row>
    <row r="23" customFormat="false" ht="39.55" hidden="false" customHeight="false" outlineLevel="0" collapsed="false">
      <c r="A23" s="2" t="s">
        <v>129</v>
      </c>
      <c r="B23" s="2" t="s">
        <v>14</v>
      </c>
      <c r="C23" s="2" t="s">
        <v>109</v>
      </c>
      <c r="D23" s="2" t="s">
        <v>110</v>
      </c>
      <c r="E23" s="2" t="s">
        <v>30</v>
      </c>
      <c r="F23" s="2" t="s">
        <v>38</v>
      </c>
      <c r="G23" s="3" t="s">
        <v>130</v>
      </c>
      <c r="H23" s="3" t="s">
        <v>131</v>
      </c>
      <c r="I23" s="2" t="s">
        <v>113</v>
      </c>
      <c r="J23" s="2"/>
      <c r="K23" s="2" t="s">
        <v>67</v>
      </c>
      <c r="L23" s="2"/>
      <c r="M23" s="2" t="n">
        <v>3</v>
      </c>
    </row>
    <row r="24" customFormat="false" ht="26.85" hidden="false" customHeight="false" outlineLevel="0" collapsed="false">
      <c r="A24" s="2" t="s">
        <v>132</v>
      </c>
      <c r="B24" s="2" t="s">
        <v>133</v>
      </c>
      <c r="C24" s="2" t="s">
        <v>134</v>
      </c>
      <c r="D24" s="2" t="s">
        <v>36</v>
      </c>
      <c r="E24" s="2" t="s">
        <v>17</v>
      </c>
      <c r="F24" s="2" t="s">
        <v>38</v>
      </c>
      <c r="G24" s="3" t="s">
        <v>135</v>
      </c>
      <c r="H24" s="3" t="s">
        <v>136</v>
      </c>
      <c r="I24" s="2" t="s">
        <v>137</v>
      </c>
      <c r="J24" s="2" t="s">
        <v>22</v>
      </c>
      <c r="K24" s="2" t="s">
        <v>22</v>
      </c>
      <c r="L24" s="2"/>
      <c r="M24" s="2" t="n">
        <v>3</v>
      </c>
    </row>
    <row r="25" customFormat="false" ht="15" hidden="false" customHeight="false" outlineLevel="0" collapsed="false">
      <c r="A25" s="2" t="s">
        <v>138</v>
      </c>
      <c r="B25" s="2" t="s">
        <v>139</v>
      </c>
      <c r="C25" s="2" t="s">
        <v>140</v>
      </c>
      <c r="D25" s="2" t="s">
        <v>36</v>
      </c>
      <c r="E25" s="2" t="s">
        <v>37</v>
      </c>
      <c r="F25" s="2" t="s">
        <v>38</v>
      </c>
      <c r="G25" s="3" t="s">
        <v>141</v>
      </c>
      <c r="H25" s="3" t="s">
        <v>142</v>
      </c>
      <c r="I25" s="2" t="s">
        <v>143</v>
      </c>
      <c r="J25" s="2" t="s">
        <v>59</v>
      </c>
      <c r="K25" s="2" t="s">
        <v>59</v>
      </c>
      <c r="L25" s="2"/>
      <c r="M25" s="2" t="n">
        <v>7</v>
      </c>
    </row>
    <row r="26" customFormat="false" ht="26.85" hidden="false" customHeight="false" outlineLevel="0" collapsed="false">
      <c r="A26" s="2" t="s">
        <v>144</v>
      </c>
      <c r="B26" s="2" t="s">
        <v>145</v>
      </c>
      <c r="C26" s="2" t="s">
        <v>140</v>
      </c>
      <c r="D26" s="2" t="s">
        <v>36</v>
      </c>
      <c r="E26" s="2" t="s">
        <v>17</v>
      </c>
      <c r="F26" s="2" t="s">
        <v>38</v>
      </c>
      <c r="G26" s="3" t="s">
        <v>146</v>
      </c>
      <c r="H26" s="3" t="s">
        <v>147</v>
      </c>
      <c r="I26" s="2" t="s">
        <v>148</v>
      </c>
      <c r="J26" s="2" t="s">
        <v>22</v>
      </c>
      <c r="K26" s="2" t="s">
        <v>22</v>
      </c>
      <c r="L26" s="2"/>
      <c r="M26" s="2" t="n">
        <v>4</v>
      </c>
    </row>
    <row r="27" customFormat="false" ht="15" hidden="false" customHeight="false" outlineLevel="0" collapsed="false">
      <c r="A27" s="2" t="s">
        <v>149</v>
      </c>
      <c r="B27" s="2" t="s">
        <v>150</v>
      </c>
      <c r="C27" s="2" t="s">
        <v>140</v>
      </c>
      <c r="D27" s="2" t="s">
        <v>36</v>
      </c>
      <c r="E27" s="2" t="s">
        <v>37</v>
      </c>
      <c r="F27" s="2" t="s">
        <v>38</v>
      </c>
      <c r="G27" s="3" t="s">
        <v>151</v>
      </c>
      <c r="H27" s="3" t="s">
        <v>152</v>
      </c>
      <c r="I27" s="2" t="s">
        <v>153</v>
      </c>
      <c r="J27" s="2" t="s">
        <v>59</v>
      </c>
      <c r="K27" s="2" t="s">
        <v>59</v>
      </c>
      <c r="L27" s="2"/>
      <c r="M27" s="2" t="n">
        <v>6</v>
      </c>
    </row>
    <row r="28" customFormat="false" ht="15" hidden="false" customHeight="false" outlineLevel="0" collapsed="false">
      <c r="A28" s="2" t="s">
        <v>154</v>
      </c>
      <c r="B28" s="2" t="s">
        <v>155</v>
      </c>
      <c r="C28" s="2" t="s">
        <v>156</v>
      </c>
      <c r="D28" s="2" t="s">
        <v>36</v>
      </c>
      <c r="E28" s="2" t="s">
        <v>17</v>
      </c>
      <c r="F28" s="2" t="s">
        <v>38</v>
      </c>
      <c r="G28" s="3" t="s">
        <v>157</v>
      </c>
      <c r="H28" s="3" t="s">
        <v>158</v>
      </c>
      <c r="I28" s="2" t="s">
        <v>159</v>
      </c>
      <c r="J28" s="2" t="s">
        <v>22</v>
      </c>
      <c r="K28" s="2" t="s">
        <v>22</v>
      </c>
      <c r="L28" s="2"/>
      <c r="M28" s="2" t="n">
        <v>6</v>
      </c>
    </row>
    <row r="29" customFormat="false" ht="26.85" hidden="false" customHeight="false" outlineLevel="0" collapsed="false">
      <c r="A29" s="2" t="s">
        <v>160</v>
      </c>
      <c r="B29" s="2" t="s">
        <v>161</v>
      </c>
      <c r="C29" s="2" t="s">
        <v>156</v>
      </c>
      <c r="D29" s="2" t="s">
        <v>55</v>
      </c>
      <c r="E29" s="2" t="s">
        <v>17</v>
      </c>
      <c r="F29" s="2" t="s">
        <v>38</v>
      </c>
      <c r="G29" s="3" t="s">
        <v>162</v>
      </c>
      <c r="H29" s="3" t="s">
        <v>163</v>
      </c>
      <c r="I29" s="2" t="s">
        <v>164</v>
      </c>
      <c r="J29" s="2" t="s">
        <v>22</v>
      </c>
      <c r="K29" s="2" t="s">
        <v>22</v>
      </c>
      <c r="L29" s="2"/>
      <c r="M29" s="2" t="n">
        <v>3</v>
      </c>
    </row>
    <row r="30" customFormat="false" ht="26.85" hidden="false" customHeight="false" outlineLevel="0" collapsed="false">
      <c r="A30" s="2" t="s">
        <v>165</v>
      </c>
      <c r="B30" s="2" t="s">
        <v>166</v>
      </c>
      <c r="C30" s="2" t="s">
        <v>156</v>
      </c>
      <c r="D30" s="2" t="s">
        <v>36</v>
      </c>
      <c r="E30" s="2" t="s">
        <v>37</v>
      </c>
      <c r="F30" s="2" t="s">
        <v>38</v>
      </c>
      <c r="G30" s="3" t="s">
        <v>167</v>
      </c>
      <c r="H30" s="3" t="s">
        <v>168</v>
      </c>
      <c r="I30" s="2" t="s">
        <v>169</v>
      </c>
      <c r="J30" s="2" t="s">
        <v>42</v>
      </c>
      <c r="K30" s="2" t="s">
        <v>42</v>
      </c>
      <c r="L30" s="2"/>
      <c r="M30" s="2" t="n">
        <v>3</v>
      </c>
    </row>
    <row r="31" customFormat="false" ht="26.85" hidden="false" customHeight="false" outlineLevel="0" collapsed="false">
      <c r="A31" s="2" t="s">
        <v>170</v>
      </c>
      <c r="B31" s="2" t="s">
        <v>171</v>
      </c>
      <c r="C31" s="2" t="s">
        <v>156</v>
      </c>
      <c r="D31" s="2" t="s">
        <v>36</v>
      </c>
      <c r="E31" s="2" t="s">
        <v>17</v>
      </c>
      <c r="F31" s="2" t="s">
        <v>38</v>
      </c>
      <c r="G31" s="3" t="s">
        <v>172</v>
      </c>
      <c r="H31" s="3" t="s">
        <v>173</v>
      </c>
      <c r="I31" s="2" t="s">
        <v>174</v>
      </c>
      <c r="J31" s="2" t="s">
        <v>22</v>
      </c>
      <c r="K31" s="2" t="s">
        <v>22</v>
      </c>
      <c r="L31" s="2"/>
      <c r="M31" s="2" t="n">
        <v>3</v>
      </c>
    </row>
    <row r="32" customFormat="false" ht="26.85" hidden="false" customHeight="false" outlineLevel="0" collapsed="false">
      <c r="A32" s="2" t="s">
        <v>175</v>
      </c>
      <c r="B32" s="2" t="s">
        <v>176</v>
      </c>
      <c r="C32" s="2" t="s">
        <v>156</v>
      </c>
      <c r="D32" s="2" t="s">
        <v>36</v>
      </c>
      <c r="E32" s="2" t="s">
        <v>17</v>
      </c>
      <c r="F32" s="2" t="s">
        <v>38</v>
      </c>
      <c r="G32" s="3" t="s">
        <v>177</v>
      </c>
      <c r="H32" s="3" t="s">
        <v>178</v>
      </c>
      <c r="I32" s="2" t="s">
        <v>179</v>
      </c>
      <c r="J32" s="2" t="s">
        <v>22</v>
      </c>
      <c r="K32" s="2" t="s">
        <v>22</v>
      </c>
      <c r="L32" s="2"/>
      <c r="M32" s="2" t="n">
        <v>4</v>
      </c>
    </row>
    <row r="33" customFormat="false" ht="26.85" hidden="false" customHeight="false" outlineLevel="0" collapsed="false">
      <c r="A33" s="2" t="s">
        <v>180</v>
      </c>
      <c r="B33" s="2" t="s">
        <v>181</v>
      </c>
      <c r="C33" s="2" t="s">
        <v>156</v>
      </c>
      <c r="D33" s="2" t="s">
        <v>36</v>
      </c>
      <c r="E33" s="2" t="s">
        <v>17</v>
      </c>
      <c r="F33" s="2" t="s">
        <v>38</v>
      </c>
      <c r="G33" s="3" t="s">
        <v>182</v>
      </c>
      <c r="H33" s="3" t="s">
        <v>183</v>
      </c>
      <c r="I33" s="2" t="s">
        <v>184</v>
      </c>
      <c r="J33" s="2" t="s">
        <v>22</v>
      </c>
      <c r="K33" s="2" t="s">
        <v>22</v>
      </c>
      <c r="L33" s="2"/>
      <c r="M33" s="2" t="n">
        <v>1</v>
      </c>
    </row>
    <row r="34" customFormat="false" ht="26.85" hidden="false" customHeight="false" outlineLevel="0" collapsed="false">
      <c r="A34" s="2" t="s">
        <v>185</v>
      </c>
      <c r="B34" s="2" t="s">
        <v>186</v>
      </c>
      <c r="C34" s="2" t="s">
        <v>187</v>
      </c>
      <c r="D34" s="2" t="s">
        <v>36</v>
      </c>
      <c r="E34" s="2" t="s">
        <v>17</v>
      </c>
      <c r="F34" s="2" t="s">
        <v>38</v>
      </c>
      <c r="G34" s="3" t="s">
        <v>188</v>
      </c>
      <c r="H34" s="3" t="s">
        <v>189</v>
      </c>
      <c r="I34" s="2" t="s">
        <v>190</v>
      </c>
      <c r="J34" s="2" t="s">
        <v>42</v>
      </c>
      <c r="K34" s="2" t="s">
        <v>42</v>
      </c>
      <c r="L34" s="2" t="s">
        <v>33</v>
      </c>
      <c r="M34" s="2" t="n">
        <v>7</v>
      </c>
    </row>
    <row r="35" customFormat="false" ht="15" hidden="false" customHeight="false" outlineLevel="0" collapsed="false">
      <c r="A35" s="2" t="s">
        <v>191</v>
      </c>
      <c r="B35" s="2" t="s">
        <v>192</v>
      </c>
      <c r="C35" s="2" t="s">
        <v>187</v>
      </c>
      <c r="D35" s="2" t="s">
        <v>55</v>
      </c>
      <c r="E35" s="2" t="s">
        <v>17</v>
      </c>
      <c r="F35" s="2" t="s">
        <v>38</v>
      </c>
      <c r="G35" s="3" t="s">
        <v>193</v>
      </c>
      <c r="H35" s="3" t="s">
        <v>194</v>
      </c>
      <c r="I35" s="2" t="s">
        <v>195</v>
      </c>
      <c r="J35" s="2" t="s">
        <v>42</v>
      </c>
      <c r="K35" s="2" t="s">
        <v>42</v>
      </c>
      <c r="L35" s="2"/>
      <c r="M35" s="2" t="n">
        <v>5</v>
      </c>
    </row>
    <row r="36" customFormat="false" ht="15" hidden="false" customHeight="false" outlineLevel="0" collapsed="false">
      <c r="A36" s="2" t="s">
        <v>196</v>
      </c>
      <c r="B36" s="2" t="s">
        <v>197</v>
      </c>
      <c r="C36" s="2" t="s">
        <v>187</v>
      </c>
      <c r="D36" s="2" t="s">
        <v>55</v>
      </c>
      <c r="E36" s="2" t="s">
        <v>17</v>
      </c>
      <c r="F36" s="2" t="s">
        <v>38</v>
      </c>
      <c r="G36" s="3" t="s">
        <v>198</v>
      </c>
      <c r="H36" s="3" t="s">
        <v>199</v>
      </c>
      <c r="I36" s="2" t="s">
        <v>200</v>
      </c>
      <c r="J36" s="2" t="s">
        <v>42</v>
      </c>
      <c r="K36" s="2" t="s">
        <v>42</v>
      </c>
      <c r="L36" s="2" t="s">
        <v>33</v>
      </c>
      <c r="M36" s="2" t="n">
        <v>2</v>
      </c>
    </row>
    <row r="37" customFormat="false" ht="26.85" hidden="false" customHeight="false" outlineLevel="0" collapsed="false">
      <c r="A37" s="2" t="s">
        <v>201</v>
      </c>
      <c r="B37" s="2" t="s">
        <v>202</v>
      </c>
      <c r="C37" s="2" t="s">
        <v>187</v>
      </c>
      <c r="D37" s="2" t="s">
        <v>110</v>
      </c>
      <c r="E37" s="2" t="s">
        <v>17</v>
      </c>
      <c r="F37" s="2" t="s">
        <v>38</v>
      </c>
      <c r="G37" s="3" t="s">
        <v>203</v>
      </c>
      <c r="H37" s="3" t="s">
        <v>204</v>
      </c>
      <c r="I37" s="2" t="s">
        <v>205</v>
      </c>
      <c r="J37" s="2" t="s">
        <v>42</v>
      </c>
      <c r="K37" s="2" t="s">
        <v>42</v>
      </c>
      <c r="L37" s="2"/>
      <c r="M37" s="2" t="n">
        <v>11</v>
      </c>
    </row>
    <row r="38" customFormat="false" ht="15" hidden="false" customHeight="false" outlineLevel="0" collapsed="false">
      <c r="A38" s="2" t="s">
        <v>206</v>
      </c>
      <c r="B38" s="2" t="s">
        <v>207</v>
      </c>
      <c r="C38" s="2" t="s">
        <v>44</v>
      </c>
      <c r="D38" s="2" t="s">
        <v>16</v>
      </c>
      <c r="E38" s="2" t="s">
        <v>17</v>
      </c>
      <c r="F38" s="2" t="s">
        <v>38</v>
      </c>
      <c r="G38" s="3" t="s">
        <v>208</v>
      </c>
      <c r="H38" s="3" t="s">
        <v>209</v>
      </c>
      <c r="I38" s="2" t="s">
        <v>210</v>
      </c>
      <c r="J38" s="2" t="s">
        <v>22</v>
      </c>
      <c r="K38" s="2" t="s">
        <v>22</v>
      </c>
      <c r="L38" s="2"/>
      <c r="M38" s="2" t="n">
        <v>4</v>
      </c>
    </row>
    <row r="39" customFormat="false" ht="26.85" hidden="false" customHeight="false" outlineLevel="0" collapsed="false">
      <c r="A39" s="2" t="s">
        <v>211</v>
      </c>
      <c r="B39" s="2" t="s">
        <v>212</v>
      </c>
      <c r="C39" s="2" t="s">
        <v>44</v>
      </c>
      <c r="D39" s="2" t="s">
        <v>55</v>
      </c>
      <c r="E39" s="2" t="s">
        <v>17</v>
      </c>
      <c r="F39" s="2" t="s">
        <v>38</v>
      </c>
      <c r="G39" s="3" t="s">
        <v>213</v>
      </c>
      <c r="H39" s="3" t="s">
        <v>214</v>
      </c>
      <c r="I39" s="2" t="s">
        <v>215</v>
      </c>
      <c r="J39" s="2" t="s">
        <v>22</v>
      </c>
      <c r="K39" s="2" t="s">
        <v>22</v>
      </c>
      <c r="L39" s="2" t="s">
        <v>216</v>
      </c>
      <c r="M39" s="2" t="n">
        <v>8</v>
      </c>
    </row>
    <row r="40" customFormat="false" ht="15" hidden="false" customHeight="false" outlineLevel="0" collapsed="false">
      <c r="A40" s="2" t="s">
        <v>217</v>
      </c>
      <c r="B40" s="2" t="s">
        <v>218</v>
      </c>
      <c r="C40" s="2" t="s">
        <v>44</v>
      </c>
      <c r="D40" s="2" t="s">
        <v>36</v>
      </c>
      <c r="E40" s="2" t="s">
        <v>17</v>
      </c>
      <c r="F40" s="2" t="s">
        <v>38</v>
      </c>
      <c r="G40" s="3" t="s">
        <v>219</v>
      </c>
      <c r="H40" s="3" t="s">
        <v>220</v>
      </c>
      <c r="I40" s="2" t="s">
        <v>47</v>
      </c>
      <c r="J40" s="2" t="s">
        <v>22</v>
      </c>
      <c r="K40" s="2" t="s">
        <v>22</v>
      </c>
      <c r="L40" s="2" t="s">
        <v>216</v>
      </c>
      <c r="M40" s="2" t="n">
        <v>5</v>
      </c>
    </row>
    <row r="41" customFormat="false" ht="15" hidden="false" customHeight="false" outlineLevel="0" collapsed="false">
      <c r="A41" s="2" t="s">
        <v>221</v>
      </c>
      <c r="B41" s="2" t="s">
        <v>222</v>
      </c>
      <c r="C41" s="2" t="s">
        <v>44</v>
      </c>
      <c r="D41" s="2" t="s">
        <v>36</v>
      </c>
      <c r="E41" s="2" t="s">
        <v>17</v>
      </c>
      <c r="F41" s="2" t="s">
        <v>38</v>
      </c>
      <c r="G41" s="3" t="s">
        <v>223</v>
      </c>
      <c r="H41" s="3" t="s">
        <v>224</v>
      </c>
      <c r="I41" s="2" t="s">
        <v>47</v>
      </c>
      <c r="J41" s="2" t="s">
        <v>22</v>
      </c>
      <c r="K41" s="2" t="s">
        <v>22</v>
      </c>
      <c r="L41" s="2"/>
      <c r="M41" s="2" t="n">
        <v>4</v>
      </c>
    </row>
    <row r="42" customFormat="false" ht="15" hidden="false" customHeight="false" outlineLevel="0" collapsed="false">
      <c r="A42" s="2" t="s">
        <v>225</v>
      </c>
      <c r="B42" s="2" t="s">
        <v>226</v>
      </c>
      <c r="C42" s="2" t="s">
        <v>44</v>
      </c>
      <c r="D42" s="2" t="s">
        <v>55</v>
      </c>
      <c r="E42" s="2" t="s">
        <v>17</v>
      </c>
      <c r="F42" s="2" t="s">
        <v>38</v>
      </c>
      <c r="G42" s="3" t="s">
        <v>227</v>
      </c>
      <c r="H42" s="3" t="s">
        <v>228</v>
      </c>
      <c r="I42" s="2" t="s">
        <v>47</v>
      </c>
      <c r="J42" s="2" t="s">
        <v>22</v>
      </c>
      <c r="K42" s="2" t="s">
        <v>22</v>
      </c>
      <c r="L42" s="2"/>
      <c r="M42" s="2" t="n">
        <v>3</v>
      </c>
    </row>
    <row r="43" customFormat="false" ht="15" hidden="false" customHeight="false" outlineLevel="0" collapsed="false">
      <c r="A43" s="2" t="s">
        <v>229</v>
      </c>
      <c r="B43" s="2" t="s">
        <v>230</v>
      </c>
      <c r="C43" s="2" t="s">
        <v>231</v>
      </c>
      <c r="D43" s="2" t="s">
        <v>36</v>
      </c>
      <c r="E43" s="2" t="s">
        <v>17</v>
      </c>
      <c r="F43" s="2" t="s">
        <v>38</v>
      </c>
      <c r="G43" s="3" t="s">
        <v>232</v>
      </c>
      <c r="H43" s="3" t="s">
        <v>233</v>
      </c>
      <c r="I43" s="2" t="s">
        <v>234</v>
      </c>
      <c r="J43" s="2" t="s">
        <v>59</v>
      </c>
      <c r="K43" s="2" t="s">
        <v>59</v>
      </c>
      <c r="L43" s="2"/>
      <c r="M43" s="2" t="n">
        <v>5</v>
      </c>
    </row>
    <row r="44" customFormat="false" ht="15" hidden="false" customHeight="false" outlineLevel="0" collapsed="false">
      <c r="A44" s="2" t="s">
        <v>235</v>
      </c>
      <c r="B44" s="2" t="s">
        <v>236</v>
      </c>
      <c r="C44" s="2" t="s">
        <v>231</v>
      </c>
      <c r="D44" s="2" t="s">
        <v>55</v>
      </c>
      <c r="E44" s="2" t="s">
        <v>17</v>
      </c>
      <c r="F44" s="2" t="s">
        <v>38</v>
      </c>
      <c r="G44" s="3" t="s">
        <v>237</v>
      </c>
      <c r="H44" s="3" t="s">
        <v>238</v>
      </c>
      <c r="I44" s="2" t="s">
        <v>239</v>
      </c>
      <c r="J44" s="2" t="s">
        <v>59</v>
      </c>
      <c r="K44" s="2" t="s">
        <v>59</v>
      </c>
      <c r="L44" s="2" t="s">
        <v>60</v>
      </c>
      <c r="M44" s="2" t="n">
        <v>8</v>
      </c>
    </row>
    <row r="45" customFormat="false" ht="15" hidden="false" customHeight="false" outlineLevel="0" collapsed="false">
      <c r="A45" s="2" t="s">
        <v>240</v>
      </c>
      <c r="B45" s="2" t="s">
        <v>241</v>
      </c>
      <c r="C45" s="2" t="s">
        <v>231</v>
      </c>
      <c r="D45" s="2" t="s">
        <v>36</v>
      </c>
      <c r="E45" s="2" t="s">
        <v>17</v>
      </c>
      <c r="F45" s="2" t="s">
        <v>38</v>
      </c>
      <c r="G45" s="3" t="s">
        <v>242</v>
      </c>
      <c r="H45" s="3" t="s">
        <v>243</v>
      </c>
      <c r="I45" s="2" t="s">
        <v>244</v>
      </c>
      <c r="J45" s="2" t="s">
        <v>59</v>
      </c>
      <c r="K45" s="2" t="s">
        <v>59</v>
      </c>
      <c r="L45" s="2" t="s">
        <v>60</v>
      </c>
      <c r="M45" s="2" t="n">
        <v>3</v>
      </c>
    </row>
    <row r="46" customFormat="false" ht="15" hidden="false" customHeight="false" outlineLevel="0" collapsed="false">
      <c r="A46" s="2" t="s">
        <v>245</v>
      </c>
      <c r="B46" s="2" t="s">
        <v>246</v>
      </c>
      <c r="C46" s="2" t="s">
        <v>231</v>
      </c>
      <c r="D46" s="2" t="s">
        <v>55</v>
      </c>
      <c r="E46" s="2" t="s">
        <v>17</v>
      </c>
      <c r="F46" s="2" t="s">
        <v>38</v>
      </c>
      <c r="G46" s="3" t="s">
        <v>247</v>
      </c>
      <c r="H46" s="3" t="s">
        <v>248</v>
      </c>
      <c r="I46" s="2" t="s">
        <v>47</v>
      </c>
      <c r="J46" s="2" t="s">
        <v>59</v>
      </c>
      <c r="K46" s="2" t="s">
        <v>59</v>
      </c>
      <c r="L46" s="2"/>
      <c r="M46" s="2" t="n">
        <v>2</v>
      </c>
    </row>
    <row r="47" customFormat="false" ht="15" hidden="false" customHeight="false" outlineLevel="0" collapsed="false">
      <c r="A47" s="2" t="s">
        <v>249</v>
      </c>
      <c r="B47" s="2" t="s">
        <v>250</v>
      </c>
      <c r="C47" s="2" t="s">
        <v>231</v>
      </c>
      <c r="D47" s="2" t="s">
        <v>55</v>
      </c>
      <c r="E47" s="2" t="s">
        <v>17</v>
      </c>
      <c r="F47" s="2" t="s">
        <v>38</v>
      </c>
      <c r="G47" s="3" t="s">
        <v>251</v>
      </c>
      <c r="H47" s="3" t="s">
        <v>252</v>
      </c>
      <c r="I47" s="2" t="s">
        <v>239</v>
      </c>
      <c r="J47" s="2" t="s">
        <v>59</v>
      </c>
      <c r="K47" s="2" t="s">
        <v>59</v>
      </c>
      <c r="L47" s="2" t="s">
        <v>60</v>
      </c>
      <c r="M47" s="2" t="n">
        <v>2</v>
      </c>
    </row>
    <row r="48" customFormat="false" ht="15" hidden="false" customHeight="false" outlineLevel="0" collapsed="false">
      <c r="A48" s="2" t="s">
        <v>253</v>
      </c>
      <c r="B48" s="2" t="s">
        <v>254</v>
      </c>
      <c r="C48" s="2" t="s">
        <v>15</v>
      </c>
      <c r="D48" s="2" t="s">
        <v>16</v>
      </c>
      <c r="E48" s="2" t="s">
        <v>17</v>
      </c>
      <c r="F48" s="2" t="s">
        <v>38</v>
      </c>
      <c r="G48" s="3" t="s">
        <v>255</v>
      </c>
      <c r="H48" s="3" t="s">
        <v>256</v>
      </c>
      <c r="I48" s="2" t="s">
        <v>21</v>
      </c>
      <c r="J48" s="2" t="s">
        <v>22</v>
      </c>
      <c r="K48" s="2" t="s">
        <v>22</v>
      </c>
      <c r="L48" s="2"/>
      <c r="M48" s="2" t="n">
        <v>2</v>
      </c>
    </row>
    <row r="49" customFormat="false" ht="26.85" hidden="false" customHeight="false" outlineLevel="0" collapsed="false">
      <c r="A49" s="2" t="s">
        <v>257</v>
      </c>
      <c r="B49" s="2" t="s">
        <v>258</v>
      </c>
      <c r="C49" s="2" t="s">
        <v>15</v>
      </c>
      <c r="D49" s="2" t="s">
        <v>16</v>
      </c>
      <c r="E49" s="2" t="s">
        <v>17</v>
      </c>
      <c r="F49" s="2" t="s">
        <v>38</v>
      </c>
      <c r="G49" s="3" t="s">
        <v>259</v>
      </c>
      <c r="H49" s="3" t="s">
        <v>260</v>
      </c>
      <c r="I49" s="2" t="s">
        <v>21</v>
      </c>
      <c r="J49" s="2" t="s">
        <v>22</v>
      </c>
      <c r="K49" s="2" t="s">
        <v>22</v>
      </c>
      <c r="L49" s="2"/>
      <c r="M49" s="2" t="n">
        <v>2</v>
      </c>
    </row>
    <row r="50" customFormat="false" ht="15" hidden="false" customHeight="false" outlineLevel="0" collapsed="false">
      <c r="A50" s="2" t="s">
        <v>261</v>
      </c>
      <c r="B50" s="2" t="s">
        <v>262</v>
      </c>
      <c r="C50" s="2" t="s">
        <v>15</v>
      </c>
      <c r="D50" s="2" t="s">
        <v>16</v>
      </c>
      <c r="E50" s="2" t="s">
        <v>30</v>
      </c>
      <c r="F50" s="2" t="s">
        <v>38</v>
      </c>
      <c r="G50" s="3" t="s">
        <v>263</v>
      </c>
      <c r="H50" s="3" t="s">
        <v>264</v>
      </c>
      <c r="I50" s="2" t="s">
        <v>265</v>
      </c>
      <c r="J50" s="2" t="s">
        <v>22</v>
      </c>
      <c r="K50" s="2" t="s">
        <v>22</v>
      </c>
      <c r="L50" s="2"/>
      <c r="M50" s="2" t="n">
        <v>2</v>
      </c>
    </row>
    <row r="51" customFormat="false" ht="26.85" hidden="false" customHeight="false" outlineLevel="0" collapsed="false">
      <c r="A51" s="2" t="s">
        <v>266</v>
      </c>
      <c r="B51" s="2" t="s">
        <v>267</v>
      </c>
      <c r="C51" s="2" t="s">
        <v>268</v>
      </c>
      <c r="D51" s="2" t="s">
        <v>55</v>
      </c>
      <c r="E51" s="2" t="s">
        <v>17</v>
      </c>
      <c r="F51" s="2" t="s">
        <v>38</v>
      </c>
      <c r="G51" s="3" t="s">
        <v>269</v>
      </c>
      <c r="H51" s="3" t="s">
        <v>270</v>
      </c>
      <c r="I51" s="2" t="s">
        <v>271</v>
      </c>
      <c r="J51" s="2" t="s">
        <v>42</v>
      </c>
      <c r="K51" s="2" t="s">
        <v>42</v>
      </c>
      <c r="L51" s="2"/>
      <c r="M51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0</v>
      </c>
      <c r="B1" s="1" t="s">
        <v>272</v>
      </c>
      <c r="C1" s="1" t="s">
        <v>279</v>
      </c>
      <c r="D1" s="1" t="s">
        <v>280</v>
      </c>
    </row>
    <row r="2" customFormat="false" ht="15" hidden="false" customHeight="false" outlineLevel="0" collapsed="false">
      <c r="A2" s="0" t="s">
        <v>13</v>
      </c>
      <c r="B2" s="0" t="s">
        <v>281</v>
      </c>
      <c r="D2" s="0" t="s">
        <v>281</v>
      </c>
    </row>
    <row r="3" customFormat="false" ht="15" hidden="false" customHeight="false" outlineLevel="0" collapsed="false">
      <c r="A3" s="0" t="s">
        <v>13</v>
      </c>
      <c r="B3" s="0" t="s">
        <v>282</v>
      </c>
      <c r="C3" s="0" t="s">
        <v>22</v>
      </c>
      <c r="D3" s="0" t="s">
        <v>17</v>
      </c>
    </row>
    <row r="4" customFormat="false" ht="15" hidden="false" customHeight="false" outlineLevel="0" collapsed="false">
      <c r="A4" s="0" t="s">
        <v>23</v>
      </c>
      <c r="B4" s="0" t="s">
        <v>281</v>
      </c>
      <c r="D4" s="0" t="s">
        <v>281</v>
      </c>
    </row>
    <row r="5" customFormat="false" ht="15" hidden="false" customHeight="false" outlineLevel="0" collapsed="false">
      <c r="A5" s="0" t="s">
        <v>23</v>
      </c>
      <c r="B5" s="0" t="s">
        <v>282</v>
      </c>
      <c r="C5" s="0" t="s">
        <v>22</v>
      </c>
      <c r="D5" s="0" t="s">
        <v>17</v>
      </c>
    </row>
    <row r="6" customFormat="false" ht="15" hidden="false" customHeight="false" outlineLevel="0" collapsed="false">
      <c r="A6" s="0" t="s">
        <v>26</v>
      </c>
      <c r="B6" s="0" t="s">
        <v>281</v>
      </c>
      <c r="D6" s="0" t="s">
        <v>281</v>
      </c>
    </row>
    <row r="7" customFormat="false" ht="15" hidden="false" customHeight="false" outlineLevel="0" collapsed="false">
      <c r="A7" s="0" t="s">
        <v>26</v>
      </c>
      <c r="B7" s="0" t="s">
        <v>282</v>
      </c>
      <c r="C7" s="0" t="s">
        <v>22</v>
      </c>
      <c r="D7" s="0" t="s">
        <v>17</v>
      </c>
    </row>
    <row r="8" customFormat="false" ht="15" hidden="false" customHeight="false" outlineLevel="0" collapsed="false">
      <c r="A8" s="0" t="s">
        <v>29</v>
      </c>
      <c r="B8" s="0" t="s">
        <v>281</v>
      </c>
      <c r="D8" s="0" t="s">
        <v>281</v>
      </c>
    </row>
    <row r="9" customFormat="false" ht="15" hidden="false" customHeight="false" outlineLevel="0" collapsed="false">
      <c r="A9" s="0" t="s">
        <v>29</v>
      </c>
      <c r="B9" s="0" t="s">
        <v>282</v>
      </c>
      <c r="C9" s="0" t="s">
        <v>33</v>
      </c>
      <c r="D9" s="0" t="s">
        <v>30</v>
      </c>
    </row>
    <row r="10" customFormat="false" ht="15" hidden="false" customHeight="false" outlineLevel="0" collapsed="false">
      <c r="A10" s="0" t="s">
        <v>34</v>
      </c>
      <c r="B10" s="0" t="s">
        <v>281</v>
      </c>
      <c r="D10" s="0" t="s">
        <v>281</v>
      </c>
    </row>
    <row r="11" customFormat="false" ht="15" hidden="false" customHeight="false" outlineLevel="0" collapsed="false">
      <c r="A11" s="0" t="s">
        <v>34</v>
      </c>
      <c r="B11" s="0" t="s">
        <v>282</v>
      </c>
      <c r="C11" s="0" t="s">
        <v>42</v>
      </c>
      <c r="D11" s="0" t="s">
        <v>37</v>
      </c>
    </row>
    <row r="12" customFormat="false" ht="15" hidden="false" customHeight="false" outlineLevel="0" collapsed="false">
      <c r="A12" s="0" t="s">
        <v>43</v>
      </c>
      <c r="B12" s="0" t="s">
        <v>281</v>
      </c>
      <c r="D12" s="0" t="s">
        <v>281</v>
      </c>
    </row>
    <row r="13" customFormat="false" ht="15" hidden="false" customHeight="false" outlineLevel="0" collapsed="false">
      <c r="A13" s="0" t="s">
        <v>43</v>
      </c>
      <c r="B13" s="0" t="s">
        <v>282</v>
      </c>
      <c r="C13" s="0" t="s">
        <v>22</v>
      </c>
      <c r="D13" s="0" t="s">
        <v>37</v>
      </c>
    </row>
    <row r="14" customFormat="false" ht="15" hidden="false" customHeight="false" outlineLevel="0" collapsed="false">
      <c r="A14" s="0" t="s">
        <v>43</v>
      </c>
      <c r="B14" s="0" t="s">
        <v>283</v>
      </c>
      <c r="C14" s="0" t="s">
        <v>48</v>
      </c>
      <c r="D14" s="0" t="s">
        <v>30</v>
      </c>
    </row>
    <row r="15" customFormat="false" ht="15" hidden="false" customHeight="false" outlineLevel="0" collapsed="false">
      <c r="A15" s="0" t="s">
        <v>49</v>
      </c>
      <c r="B15" s="0" t="s">
        <v>281</v>
      </c>
      <c r="D15" s="0" t="s">
        <v>281</v>
      </c>
    </row>
    <row r="16" customFormat="false" ht="15" hidden="false" customHeight="false" outlineLevel="0" collapsed="false">
      <c r="A16" s="0" t="s">
        <v>49</v>
      </c>
      <c r="B16" s="0" t="s">
        <v>282</v>
      </c>
      <c r="C16" s="0" t="s">
        <v>22</v>
      </c>
      <c r="D16" s="0" t="s">
        <v>37</v>
      </c>
    </row>
    <row r="17" customFormat="false" ht="15" hidden="false" customHeight="false" outlineLevel="0" collapsed="false">
      <c r="A17" s="0" t="s">
        <v>53</v>
      </c>
      <c r="B17" s="0" t="s">
        <v>281</v>
      </c>
      <c r="D17" s="0" t="s">
        <v>281</v>
      </c>
    </row>
    <row r="18" customFormat="false" ht="15" hidden="false" customHeight="false" outlineLevel="0" collapsed="false">
      <c r="A18" s="0" t="s">
        <v>53</v>
      </c>
      <c r="B18" s="0" t="s">
        <v>282</v>
      </c>
      <c r="C18" s="0" t="s">
        <v>59</v>
      </c>
      <c r="D18" s="0" t="s">
        <v>17</v>
      </c>
    </row>
    <row r="19" customFormat="false" ht="15" hidden="false" customHeight="false" outlineLevel="0" collapsed="false">
      <c r="A19" s="0" t="s">
        <v>53</v>
      </c>
      <c r="B19" s="0" t="s">
        <v>283</v>
      </c>
      <c r="C19" s="0" t="s">
        <v>60</v>
      </c>
      <c r="D19" s="0" t="s">
        <v>30</v>
      </c>
    </row>
    <row r="20" customFormat="false" ht="15" hidden="false" customHeight="false" outlineLevel="0" collapsed="false">
      <c r="A20" s="0" t="s">
        <v>61</v>
      </c>
      <c r="B20" s="0" t="s">
        <v>281</v>
      </c>
      <c r="D20" s="0" t="s">
        <v>281</v>
      </c>
    </row>
    <row r="21" customFormat="false" ht="15" hidden="false" customHeight="false" outlineLevel="0" collapsed="false">
      <c r="A21" s="0" t="s">
        <v>61</v>
      </c>
      <c r="B21" s="0" t="s">
        <v>282</v>
      </c>
      <c r="C21" s="0" t="s">
        <v>66</v>
      </c>
      <c r="D21" s="0" t="s">
        <v>37</v>
      </c>
    </row>
    <row r="22" customFormat="false" ht="15" hidden="false" customHeight="false" outlineLevel="0" collapsed="false">
      <c r="A22" s="0" t="s">
        <v>61</v>
      </c>
      <c r="B22" s="0" t="s">
        <v>283</v>
      </c>
      <c r="C22" s="0" t="s">
        <v>67</v>
      </c>
      <c r="D22" s="0" t="s">
        <v>30</v>
      </c>
    </row>
    <row r="23" customFormat="false" ht="15" hidden="false" customHeight="false" outlineLevel="0" collapsed="false">
      <c r="A23" s="0" t="s">
        <v>68</v>
      </c>
      <c r="B23" s="0" t="s">
        <v>281</v>
      </c>
      <c r="D23" s="0" t="s">
        <v>281</v>
      </c>
    </row>
    <row r="24" customFormat="false" ht="15" hidden="false" customHeight="false" outlineLevel="0" collapsed="false">
      <c r="A24" s="0" t="s">
        <v>68</v>
      </c>
      <c r="B24" s="0" t="s">
        <v>282</v>
      </c>
      <c r="C24" s="0" t="s">
        <v>22</v>
      </c>
      <c r="D24" s="0" t="s">
        <v>17</v>
      </c>
    </row>
    <row r="25" customFormat="false" ht="15" hidden="false" customHeight="false" outlineLevel="0" collapsed="false">
      <c r="A25" s="0" t="s">
        <v>73</v>
      </c>
      <c r="B25" s="0" t="s">
        <v>281</v>
      </c>
      <c r="D25" s="0" t="s">
        <v>281</v>
      </c>
    </row>
    <row r="26" customFormat="false" ht="15" hidden="false" customHeight="false" outlineLevel="0" collapsed="false">
      <c r="A26" s="0" t="s">
        <v>73</v>
      </c>
      <c r="B26" s="0" t="s">
        <v>282</v>
      </c>
      <c r="C26" s="0" t="s">
        <v>42</v>
      </c>
      <c r="D26" s="0" t="s">
        <v>17</v>
      </c>
    </row>
    <row r="27" customFormat="false" ht="15" hidden="false" customHeight="false" outlineLevel="0" collapsed="false">
      <c r="A27" s="0" t="s">
        <v>77</v>
      </c>
      <c r="B27" s="0" t="s">
        <v>281</v>
      </c>
      <c r="D27" s="0" t="s">
        <v>281</v>
      </c>
    </row>
    <row r="28" customFormat="false" ht="15" hidden="false" customHeight="false" outlineLevel="0" collapsed="false">
      <c r="A28" s="0" t="s">
        <v>77</v>
      </c>
      <c r="B28" s="0" t="s">
        <v>282</v>
      </c>
      <c r="C28" s="0" t="s">
        <v>82</v>
      </c>
      <c r="D28" s="0" t="s">
        <v>17</v>
      </c>
    </row>
    <row r="29" customFormat="false" ht="15" hidden="false" customHeight="false" outlineLevel="0" collapsed="false">
      <c r="A29" s="0" t="s">
        <v>77</v>
      </c>
      <c r="B29" s="0" t="s">
        <v>283</v>
      </c>
      <c r="C29" s="0" t="s">
        <v>67</v>
      </c>
      <c r="D29" s="0" t="s">
        <v>30</v>
      </c>
    </row>
    <row r="30" customFormat="false" ht="15" hidden="false" customHeight="false" outlineLevel="0" collapsed="false">
      <c r="A30" s="0" t="s">
        <v>83</v>
      </c>
      <c r="B30" s="0" t="s">
        <v>281</v>
      </c>
      <c r="D30" s="0" t="s">
        <v>281</v>
      </c>
    </row>
    <row r="31" customFormat="false" ht="15" hidden="false" customHeight="false" outlineLevel="0" collapsed="false">
      <c r="A31" s="0" t="s">
        <v>83</v>
      </c>
      <c r="B31" s="0" t="s">
        <v>282</v>
      </c>
      <c r="C31" s="0" t="s">
        <v>89</v>
      </c>
      <c r="D31" s="0" t="s">
        <v>85</v>
      </c>
    </row>
    <row r="32" customFormat="false" ht="15" hidden="false" customHeight="false" outlineLevel="0" collapsed="false">
      <c r="A32" s="0" t="s">
        <v>90</v>
      </c>
      <c r="B32" s="0" t="s">
        <v>281</v>
      </c>
      <c r="D32" s="0" t="s">
        <v>281</v>
      </c>
    </row>
    <row r="33" customFormat="false" ht="15" hidden="false" customHeight="false" outlineLevel="0" collapsed="false">
      <c r="A33" s="0" t="s">
        <v>90</v>
      </c>
      <c r="B33" s="0" t="s">
        <v>282</v>
      </c>
      <c r="C33" s="0" t="s">
        <v>33</v>
      </c>
      <c r="D33" s="0" t="s">
        <v>85</v>
      </c>
    </row>
    <row r="34" customFormat="false" ht="15" hidden="false" customHeight="false" outlineLevel="0" collapsed="false">
      <c r="A34" s="0" t="s">
        <v>94</v>
      </c>
      <c r="B34" s="0" t="s">
        <v>281</v>
      </c>
      <c r="D34" s="0" t="s">
        <v>281</v>
      </c>
    </row>
    <row r="35" customFormat="false" ht="15" hidden="false" customHeight="false" outlineLevel="0" collapsed="false">
      <c r="A35" s="0" t="s">
        <v>94</v>
      </c>
      <c r="B35" s="0" t="s">
        <v>282</v>
      </c>
      <c r="C35" s="0" t="s">
        <v>98</v>
      </c>
      <c r="D35" s="0" t="s">
        <v>85</v>
      </c>
    </row>
    <row r="36" customFormat="false" ht="15" hidden="false" customHeight="false" outlineLevel="0" collapsed="false">
      <c r="A36" s="0" t="s">
        <v>99</v>
      </c>
      <c r="B36" s="0" t="s">
        <v>281</v>
      </c>
      <c r="D36" s="0" t="s">
        <v>281</v>
      </c>
    </row>
    <row r="37" customFormat="false" ht="15" hidden="false" customHeight="false" outlineLevel="0" collapsed="false">
      <c r="A37" s="0" t="s">
        <v>99</v>
      </c>
      <c r="B37" s="0" t="s">
        <v>282</v>
      </c>
      <c r="C37" s="0" t="s">
        <v>89</v>
      </c>
      <c r="D37" s="0" t="s">
        <v>85</v>
      </c>
    </row>
    <row r="38" customFormat="false" ht="15" hidden="false" customHeight="false" outlineLevel="0" collapsed="false">
      <c r="A38" s="0" t="s">
        <v>103</v>
      </c>
      <c r="B38" s="0" t="s">
        <v>281</v>
      </c>
      <c r="D38" s="0" t="s">
        <v>281</v>
      </c>
    </row>
    <row r="39" customFormat="false" ht="15" hidden="false" customHeight="false" outlineLevel="0" collapsed="false">
      <c r="A39" s="0" t="s">
        <v>103</v>
      </c>
      <c r="B39" s="0" t="s">
        <v>282</v>
      </c>
      <c r="C39" s="0" t="s">
        <v>107</v>
      </c>
      <c r="D39" s="0" t="s">
        <v>17</v>
      </c>
    </row>
    <row r="40" customFormat="false" ht="15" hidden="false" customHeight="false" outlineLevel="0" collapsed="false">
      <c r="A40" s="0" t="s">
        <v>103</v>
      </c>
      <c r="B40" s="0" t="s">
        <v>283</v>
      </c>
      <c r="C40" s="0" t="s">
        <v>33</v>
      </c>
      <c r="D40" s="0" t="s">
        <v>30</v>
      </c>
    </row>
    <row r="41" customFormat="false" ht="15" hidden="false" customHeight="false" outlineLevel="0" collapsed="false">
      <c r="A41" s="0" t="s">
        <v>108</v>
      </c>
      <c r="B41" s="0" t="s">
        <v>281</v>
      </c>
      <c r="D41" s="0" t="s">
        <v>281</v>
      </c>
    </row>
    <row r="42" customFormat="false" ht="15" hidden="false" customHeight="false" outlineLevel="0" collapsed="false">
      <c r="A42" s="0" t="s">
        <v>108</v>
      </c>
      <c r="B42" s="0" t="s">
        <v>284</v>
      </c>
      <c r="C42" s="0" t="s">
        <v>67</v>
      </c>
      <c r="D42" s="0" t="s">
        <v>30</v>
      </c>
    </row>
    <row r="43" customFormat="false" ht="15" hidden="false" customHeight="false" outlineLevel="0" collapsed="false">
      <c r="A43" s="0" t="s">
        <v>114</v>
      </c>
      <c r="B43" s="0" t="s">
        <v>281</v>
      </c>
      <c r="D43" s="0" t="s">
        <v>281</v>
      </c>
    </row>
    <row r="44" customFormat="false" ht="15" hidden="false" customHeight="false" outlineLevel="0" collapsed="false">
      <c r="A44" s="0" t="s">
        <v>114</v>
      </c>
      <c r="B44" s="0" t="s">
        <v>282</v>
      </c>
      <c r="C44" s="0" t="s">
        <v>98</v>
      </c>
      <c r="D44" s="0" t="s">
        <v>85</v>
      </c>
    </row>
    <row r="45" customFormat="false" ht="15" hidden="false" customHeight="false" outlineLevel="0" collapsed="false">
      <c r="A45" s="0" t="s">
        <v>114</v>
      </c>
      <c r="B45" s="0" t="s">
        <v>283</v>
      </c>
      <c r="C45" s="0" t="s">
        <v>67</v>
      </c>
      <c r="D45" s="0" t="s">
        <v>30</v>
      </c>
    </row>
    <row r="46" customFormat="false" ht="15" hidden="false" customHeight="false" outlineLevel="0" collapsed="false">
      <c r="A46" s="0" t="s">
        <v>119</v>
      </c>
      <c r="B46" s="0" t="s">
        <v>281</v>
      </c>
      <c r="D46" s="0" t="s">
        <v>281</v>
      </c>
    </row>
    <row r="47" customFormat="false" ht="15" hidden="false" customHeight="false" outlineLevel="0" collapsed="false">
      <c r="A47" s="0" t="s">
        <v>119</v>
      </c>
      <c r="B47" s="0" t="s">
        <v>282</v>
      </c>
      <c r="C47" s="0" t="s">
        <v>123</v>
      </c>
      <c r="D47" s="0" t="s">
        <v>85</v>
      </c>
    </row>
    <row r="48" customFormat="false" ht="15" hidden="false" customHeight="false" outlineLevel="0" collapsed="false">
      <c r="A48" s="0" t="s">
        <v>119</v>
      </c>
      <c r="B48" s="0" t="s">
        <v>283</v>
      </c>
      <c r="C48" s="0" t="s">
        <v>67</v>
      </c>
      <c r="D48" s="0" t="s">
        <v>30</v>
      </c>
    </row>
    <row r="49" customFormat="false" ht="15" hidden="false" customHeight="false" outlineLevel="0" collapsed="false">
      <c r="A49" s="0" t="s">
        <v>124</v>
      </c>
      <c r="B49" s="0" t="s">
        <v>281</v>
      </c>
      <c r="D49" s="0" t="s">
        <v>281</v>
      </c>
    </row>
    <row r="50" customFormat="false" ht="15" hidden="false" customHeight="false" outlineLevel="0" collapsed="false">
      <c r="A50" s="0" t="s">
        <v>124</v>
      </c>
      <c r="B50" s="0" t="s">
        <v>284</v>
      </c>
      <c r="C50" s="0" t="s">
        <v>67</v>
      </c>
      <c r="D50" s="0" t="s">
        <v>30</v>
      </c>
    </row>
    <row r="51" customFormat="false" ht="15" hidden="false" customHeight="false" outlineLevel="0" collapsed="false">
      <c r="A51" s="0" t="s">
        <v>129</v>
      </c>
      <c r="B51" s="0" t="s">
        <v>281</v>
      </c>
      <c r="D51" s="0" t="s">
        <v>281</v>
      </c>
    </row>
    <row r="52" customFormat="false" ht="15" hidden="false" customHeight="false" outlineLevel="0" collapsed="false">
      <c r="A52" s="0" t="s">
        <v>129</v>
      </c>
      <c r="B52" s="0" t="s">
        <v>284</v>
      </c>
      <c r="C52" s="0" t="s">
        <v>67</v>
      </c>
      <c r="D52" s="0" t="s">
        <v>30</v>
      </c>
    </row>
    <row r="53" customFormat="false" ht="15" hidden="false" customHeight="false" outlineLevel="0" collapsed="false">
      <c r="A53" s="0" t="s">
        <v>132</v>
      </c>
      <c r="B53" s="0" t="s">
        <v>281</v>
      </c>
      <c r="D53" s="0" t="s">
        <v>281</v>
      </c>
    </row>
    <row r="54" customFormat="false" ht="15" hidden="false" customHeight="false" outlineLevel="0" collapsed="false">
      <c r="A54" s="0" t="s">
        <v>132</v>
      </c>
      <c r="B54" s="0" t="s">
        <v>282</v>
      </c>
      <c r="C54" s="0" t="s">
        <v>22</v>
      </c>
      <c r="D54" s="0" t="s">
        <v>17</v>
      </c>
    </row>
    <row r="55" customFormat="false" ht="15" hidden="false" customHeight="false" outlineLevel="0" collapsed="false">
      <c r="A55" s="0" t="s">
        <v>138</v>
      </c>
      <c r="B55" s="0" t="s">
        <v>281</v>
      </c>
      <c r="D55" s="0" t="s">
        <v>281</v>
      </c>
    </row>
    <row r="56" customFormat="false" ht="15" hidden="false" customHeight="false" outlineLevel="0" collapsed="false">
      <c r="A56" s="0" t="s">
        <v>138</v>
      </c>
      <c r="B56" s="0" t="s">
        <v>282</v>
      </c>
      <c r="C56" s="0" t="s">
        <v>59</v>
      </c>
      <c r="D56" s="0" t="s">
        <v>37</v>
      </c>
    </row>
    <row r="57" customFormat="false" ht="15" hidden="false" customHeight="false" outlineLevel="0" collapsed="false">
      <c r="A57" s="0" t="s">
        <v>144</v>
      </c>
      <c r="B57" s="0" t="s">
        <v>281</v>
      </c>
      <c r="D57" s="0" t="s">
        <v>281</v>
      </c>
    </row>
    <row r="58" customFormat="false" ht="15" hidden="false" customHeight="false" outlineLevel="0" collapsed="false">
      <c r="A58" s="0" t="s">
        <v>144</v>
      </c>
      <c r="B58" s="0" t="s">
        <v>282</v>
      </c>
      <c r="C58" s="0" t="s">
        <v>22</v>
      </c>
      <c r="D58" s="0" t="s">
        <v>17</v>
      </c>
    </row>
    <row r="59" customFormat="false" ht="15" hidden="false" customHeight="false" outlineLevel="0" collapsed="false">
      <c r="A59" s="0" t="s">
        <v>149</v>
      </c>
      <c r="B59" s="0" t="s">
        <v>281</v>
      </c>
      <c r="D59" s="0" t="s">
        <v>281</v>
      </c>
    </row>
    <row r="60" customFormat="false" ht="15" hidden="false" customHeight="false" outlineLevel="0" collapsed="false">
      <c r="A60" s="0" t="s">
        <v>149</v>
      </c>
      <c r="B60" s="0" t="s">
        <v>282</v>
      </c>
      <c r="C60" s="0" t="s">
        <v>59</v>
      </c>
      <c r="D60" s="0" t="s">
        <v>37</v>
      </c>
    </row>
    <row r="61" customFormat="false" ht="15" hidden="false" customHeight="false" outlineLevel="0" collapsed="false">
      <c r="A61" s="0" t="s">
        <v>154</v>
      </c>
      <c r="B61" s="0" t="s">
        <v>281</v>
      </c>
      <c r="D61" s="0" t="s">
        <v>281</v>
      </c>
    </row>
    <row r="62" customFormat="false" ht="15" hidden="false" customHeight="false" outlineLevel="0" collapsed="false">
      <c r="A62" s="0" t="s">
        <v>154</v>
      </c>
      <c r="B62" s="0" t="s">
        <v>282</v>
      </c>
      <c r="C62" s="0" t="s">
        <v>22</v>
      </c>
      <c r="D62" s="0" t="s">
        <v>17</v>
      </c>
    </row>
    <row r="63" customFormat="false" ht="15" hidden="false" customHeight="false" outlineLevel="0" collapsed="false">
      <c r="A63" s="0" t="s">
        <v>160</v>
      </c>
      <c r="B63" s="0" t="s">
        <v>281</v>
      </c>
      <c r="D63" s="0" t="s">
        <v>281</v>
      </c>
    </row>
    <row r="64" customFormat="false" ht="15" hidden="false" customHeight="false" outlineLevel="0" collapsed="false">
      <c r="A64" s="0" t="s">
        <v>160</v>
      </c>
      <c r="B64" s="0" t="s">
        <v>282</v>
      </c>
      <c r="C64" s="0" t="s">
        <v>22</v>
      </c>
      <c r="D64" s="0" t="s">
        <v>17</v>
      </c>
    </row>
    <row r="65" customFormat="false" ht="15" hidden="false" customHeight="false" outlineLevel="0" collapsed="false">
      <c r="A65" s="0" t="s">
        <v>165</v>
      </c>
      <c r="B65" s="0" t="s">
        <v>281</v>
      </c>
      <c r="D65" s="0" t="s">
        <v>281</v>
      </c>
    </row>
    <row r="66" customFormat="false" ht="15" hidden="false" customHeight="false" outlineLevel="0" collapsed="false">
      <c r="A66" s="0" t="s">
        <v>165</v>
      </c>
      <c r="B66" s="0" t="s">
        <v>282</v>
      </c>
      <c r="C66" s="0" t="s">
        <v>42</v>
      </c>
      <c r="D66" s="0" t="s">
        <v>37</v>
      </c>
    </row>
    <row r="67" customFormat="false" ht="15" hidden="false" customHeight="false" outlineLevel="0" collapsed="false">
      <c r="A67" s="0" t="s">
        <v>170</v>
      </c>
      <c r="B67" s="0" t="s">
        <v>281</v>
      </c>
      <c r="D67" s="0" t="s">
        <v>281</v>
      </c>
    </row>
    <row r="68" customFormat="false" ht="15" hidden="false" customHeight="false" outlineLevel="0" collapsed="false">
      <c r="A68" s="0" t="s">
        <v>170</v>
      </c>
      <c r="B68" s="0" t="s">
        <v>282</v>
      </c>
      <c r="C68" s="0" t="s">
        <v>22</v>
      </c>
      <c r="D68" s="0" t="s">
        <v>17</v>
      </c>
    </row>
    <row r="69" customFormat="false" ht="15" hidden="false" customHeight="false" outlineLevel="0" collapsed="false">
      <c r="A69" s="0" t="s">
        <v>175</v>
      </c>
      <c r="B69" s="0" t="s">
        <v>281</v>
      </c>
      <c r="D69" s="0" t="s">
        <v>281</v>
      </c>
    </row>
    <row r="70" customFormat="false" ht="15" hidden="false" customHeight="false" outlineLevel="0" collapsed="false">
      <c r="A70" s="0" t="s">
        <v>175</v>
      </c>
      <c r="B70" s="0" t="s">
        <v>282</v>
      </c>
      <c r="C70" s="0" t="s">
        <v>22</v>
      </c>
      <c r="D70" s="0" t="s">
        <v>17</v>
      </c>
    </row>
    <row r="71" customFormat="false" ht="15" hidden="false" customHeight="false" outlineLevel="0" collapsed="false">
      <c r="A71" s="0" t="s">
        <v>180</v>
      </c>
      <c r="B71" s="0" t="s">
        <v>281</v>
      </c>
      <c r="D71" s="0" t="s">
        <v>281</v>
      </c>
    </row>
    <row r="72" customFormat="false" ht="15" hidden="false" customHeight="false" outlineLevel="0" collapsed="false">
      <c r="A72" s="0" t="s">
        <v>180</v>
      </c>
      <c r="B72" s="0" t="s">
        <v>282</v>
      </c>
      <c r="C72" s="0" t="s">
        <v>22</v>
      </c>
      <c r="D72" s="0" t="s">
        <v>17</v>
      </c>
    </row>
    <row r="73" customFormat="false" ht="15" hidden="false" customHeight="false" outlineLevel="0" collapsed="false">
      <c r="A73" s="0" t="s">
        <v>185</v>
      </c>
      <c r="B73" s="0" t="s">
        <v>281</v>
      </c>
      <c r="D73" s="0" t="s">
        <v>281</v>
      </c>
    </row>
    <row r="74" customFormat="false" ht="15" hidden="false" customHeight="false" outlineLevel="0" collapsed="false">
      <c r="A74" s="0" t="s">
        <v>185</v>
      </c>
      <c r="B74" s="0" t="s">
        <v>282</v>
      </c>
      <c r="C74" s="0" t="s">
        <v>42</v>
      </c>
      <c r="D74" s="0" t="s">
        <v>17</v>
      </c>
    </row>
    <row r="75" customFormat="false" ht="15" hidden="false" customHeight="false" outlineLevel="0" collapsed="false">
      <c r="A75" s="0" t="s">
        <v>185</v>
      </c>
      <c r="B75" s="0" t="s">
        <v>283</v>
      </c>
      <c r="C75" s="0" t="s">
        <v>33</v>
      </c>
      <c r="D75" s="0" t="s">
        <v>30</v>
      </c>
    </row>
    <row r="76" customFormat="false" ht="15" hidden="false" customHeight="false" outlineLevel="0" collapsed="false">
      <c r="A76" s="0" t="s">
        <v>191</v>
      </c>
      <c r="B76" s="0" t="s">
        <v>281</v>
      </c>
      <c r="D76" s="0" t="s">
        <v>281</v>
      </c>
    </row>
    <row r="77" customFormat="false" ht="15" hidden="false" customHeight="false" outlineLevel="0" collapsed="false">
      <c r="A77" s="0" t="s">
        <v>191</v>
      </c>
      <c r="B77" s="0" t="s">
        <v>282</v>
      </c>
      <c r="C77" s="0" t="s">
        <v>42</v>
      </c>
      <c r="D77" s="0" t="s">
        <v>17</v>
      </c>
    </row>
    <row r="78" customFormat="false" ht="15" hidden="false" customHeight="false" outlineLevel="0" collapsed="false">
      <c r="A78" s="0" t="s">
        <v>196</v>
      </c>
      <c r="B78" s="0" t="s">
        <v>281</v>
      </c>
      <c r="D78" s="0" t="s">
        <v>281</v>
      </c>
    </row>
    <row r="79" customFormat="false" ht="15" hidden="false" customHeight="false" outlineLevel="0" collapsed="false">
      <c r="A79" s="0" t="s">
        <v>196</v>
      </c>
      <c r="B79" s="0" t="s">
        <v>282</v>
      </c>
      <c r="C79" s="0" t="s">
        <v>42</v>
      </c>
      <c r="D79" s="0" t="s">
        <v>17</v>
      </c>
    </row>
    <row r="80" customFormat="false" ht="15" hidden="false" customHeight="false" outlineLevel="0" collapsed="false">
      <c r="A80" s="0" t="s">
        <v>196</v>
      </c>
      <c r="B80" s="0" t="s">
        <v>283</v>
      </c>
      <c r="C80" s="0" t="s">
        <v>33</v>
      </c>
      <c r="D80" s="0" t="s">
        <v>30</v>
      </c>
    </row>
    <row r="81" customFormat="false" ht="15" hidden="false" customHeight="false" outlineLevel="0" collapsed="false">
      <c r="A81" s="0" t="s">
        <v>201</v>
      </c>
      <c r="B81" s="0" t="s">
        <v>281</v>
      </c>
      <c r="D81" s="0" t="s">
        <v>281</v>
      </c>
    </row>
    <row r="82" customFormat="false" ht="15" hidden="false" customHeight="false" outlineLevel="0" collapsed="false">
      <c r="A82" s="0" t="s">
        <v>201</v>
      </c>
      <c r="B82" s="0" t="s">
        <v>282</v>
      </c>
      <c r="C82" s="0" t="s">
        <v>42</v>
      </c>
      <c r="D82" s="0" t="s">
        <v>17</v>
      </c>
    </row>
    <row r="83" customFormat="false" ht="15" hidden="false" customHeight="false" outlineLevel="0" collapsed="false">
      <c r="A83" s="0" t="s">
        <v>206</v>
      </c>
      <c r="B83" s="0" t="s">
        <v>281</v>
      </c>
      <c r="D83" s="0" t="s">
        <v>281</v>
      </c>
    </row>
    <row r="84" customFormat="false" ht="15" hidden="false" customHeight="false" outlineLevel="0" collapsed="false">
      <c r="A84" s="0" t="s">
        <v>206</v>
      </c>
      <c r="B84" s="0" t="s">
        <v>282</v>
      </c>
      <c r="C84" s="0" t="s">
        <v>22</v>
      </c>
      <c r="D84" s="0" t="s">
        <v>17</v>
      </c>
    </row>
    <row r="85" customFormat="false" ht="15" hidden="false" customHeight="false" outlineLevel="0" collapsed="false">
      <c r="A85" s="0" t="s">
        <v>211</v>
      </c>
      <c r="B85" s="0" t="s">
        <v>281</v>
      </c>
      <c r="D85" s="0" t="s">
        <v>281</v>
      </c>
    </row>
    <row r="86" customFormat="false" ht="15" hidden="false" customHeight="false" outlineLevel="0" collapsed="false">
      <c r="A86" s="0" t="s">
        <v>211</v>
      </c>
      <c r="B86" s="0" t="s">
        <v>282</v>
      </c>
      <c r="C86" s="0" t="s">
        <v>22</v>
      </c>
      <c r="D86" s="0" t="s">
        <v>17</v>
      </c>
    </row>
    <row r="87" customFormat="false" ht="15" hidden="false" customHeight="false" outlineLevel="0" collapsed="false">
      <c r="A87" s="0" t="s">
        <v>211</v>
      </c>
      <c r="B87" s="0" t="s">
        <v>283</v>
      </c>
      <c r="C87" s="0" t="s">
        <v>216</v>
      </c>
      <c r="D87" s="0" t="s">
        <v>30</v>
      </c>
    </row>
    <row r="88" customFormat="false" ht="15" hidden="false" customHeight="false" outlineLevel="0" collapsed="false">
      <c r="A88" s="0" t="s">
        <v>217</v>
      </c>
      <c r="B88" s="0" t="s">
        <v>281</v>
      </c>
      <c r="D88" s="0" t="s">
        <v>281</v>
      </c>
    </row>
    <row r="89" customFormat="false" ht="15" hidden="false" customHeight="false" outlineLevel="0" collapsed="false">
      <c r="A89" s="0" t="s">
        <v>217</v>
      </c>
      <c r="B89" s="0" t="s">
        <v>282</v>
      </c>
      <c r="C89" s="0" t="s">
        <v>22</v>
      </c>
      <c r="D89" s="0" t="s">
        <v>17</v>
      </c>
    </row>
    <row r="90" customFormat="false" ht="15" hidden="false" customHeight="false" outlineLevel="0" collapsed="false">
      <c r="A90" s="0" t="s">
        <v>217</v>
      </c>
      <c r="B90" s="0" t="s">
        <v>283</v>
      </c>
      <c r="C90" s="0" t="s">
        <v>216</v>
      </c>
      <c r="D90" s="0" t="s">
        <v>30</v>
      </c>
    </row>
    <row r="91" customFormat="false" ht="15" hidden="false" customHeight="false" outlineLevel="0" collapsed="false">
      <c r="A91" s="0" t="s">
        <v>221</v>
      </c>
      <c r="B91" s="0" t="s">
        <v>281</v>
      </c>
      <c r="D91" s="0" t="s">
        <v>281</v>
      </c>
    </row>
    <row r="92" customFormat="false" ht="15" hidden="false" customHeight="false" outlineLevel="0" collapsed="false">
      <c r="A92" s="0" t="s">
        <v>221</v>
      </c>
      <c r="B92" s="0" t="s">
        <v>282</v>
      </c>
      <c r="C92" s="0" t="s">
        <v>22</v>
      </c>
      <c r="D92" s="0" t="s">
        <v>17</v>
      </c>
    </row>
    <row r="93" customFormat="false" ht="15" hidden="false" customHeight="false" outlineLevel="0" collapsed="false">
      <c r="A93" s="0" t="s">
        <v>225</v>
      </c>
      <c r="B93" s="0" t="s">
        <v>281</v>
      </c>
      <c r="D93" s="0" t="s">
        <v>281</v>
      </c>
    </row>
    <row r="94" customFormat="false" ht="15" hidden="false" customHeight="false" outlineLevel="0" collapsed="false">
      <c r="A94" s="0" t="s">
        <v>225</v>
      </c>
      <c r="B94" s="0" t="s">
        <v>282</v>
      </c>
      <c r="C94" s="0" t="s">
        <v>22</v>
      </c>
      <c r="D94" s="0" t="s">
        <v>17</v>
      </c>
    </row>
    <row r="95" customFormat="false" ht="15" hidden="false" customHeight="false" outlineLevel="0" collapsed="false">
      <c r="A95" s="0" t="s">
        <v>229</v>
      </c>
      <c r="B95" s="0" t="s">
        <v>281</v>
      </c>
      <c r="D95" s="0" t="s">
        <v>281</v>
      </c>
    </row>
    <row r="96" customFormat="false" ht="15" hidden="false" customHeight="false" outlineLevel="0" collapsed="false">
      <c r="A96" s="0" t="s">
        <v>229</v>
      </c>
      <c r="B96" s="0" t="s">
        <v>282</v>
      </c>
      <c r="C96" s="0" t="s">
        <v>59</v>
      </c>
      <c r="D96" s="0" t="s">
        <v>17</v>
      </c>
    </row>
    <row r="97" customFormat="false" ht="15" hidden="false" customHeight="false" outlineLevel="0" collapsed="false">
      <c r="A97" s="0" t="s">
        <v>235</v>
      </c>
      <c r="B97" s="0" t="s">
        <v>281</v>
      </c>
      <c r="D97" s="0" t="s">
        <v>281</v>
      </c>
    </row>
    <row r="98" customFormat="false" ht="15" hidden="false" customHeight="false" outlineLevel="0" collapsed="false">
      <c r="A98" s="0" t="s">
        <v>235</v>
      </c>
      <c r="B98" s="0" t="s">
        <v>282</v>
      </c>
      <c r="C98" s="0" t="s">
        <v>59</v>
      </c>
      <c r="D98" s="0" t="s">
        <v>17</v>
      </c>
    </row>
    <row r="99" customFormat="false" ht="15" hidden="false" customHeight="false" outlineLevel="0" collapsed="false">
      <c r="A99" s="0" t="s">
        <v>235</v>
      </c>
      <c r="B99" s="0" t="s">
        <v>283</v>
      </c>
      <c r="C99" s="0" t="s">
        <v>60</v>
      </c>
      <c r="D99" s="0" t="s">
        <v>30</v>
      </c>
    </row>
    <row r="100" customFormat="false" ht="15" hidden="false" customHeight="false" outlineLevel="0" collapsed="false">
      <c r="A100" s="0" t="s">
        <v>240</v>
      </c>
      <c r="B100" s="0" t="s">
        <v>281</v>
      </c>
      <c r="D100" s="0" t="s">
        <v>281</v>
      </c>
    </row>
    <row r="101" customFormat="false" ht="15" hidden="false" customHeight="false" outlineLevel="0" collapsed="false">
      <c r="A101" s="0" t="s">
        <v>240</v>
      </c>
      <c r="B101" s="0" t="s">
        <v>282</v>
      </c>
      <c r="C101" s="0" t="s">
        <v>59</v>
      </c>
      <c r="D101" s="0" t="s">
        <v>17</v>
      </c>
    </row>
    <row r="102" customFormat="false" ht="15" hidden="false" customHeight="false" outlineLevel="0" collapsed="false">
      <c r="A102" s="0" t="s">
        <v>240</v>
      </c>
      <c r="B102" s="0" t="s">
        <v>283</v>
      </c>
      <c r="C102" s="0" t="s">
        <v>60</v>
      </c>
      <c r="D102" s="0" t="s">
        <v>30</v>
      </c>
    </row>
    <row r="103" customFormat="false" ht="15" hidden="false" customHeight="false" outlineLevel="0" collapsed="false">
      <c r="A103" s="0" t="s">
        <v>245</v>
      </c>
      <c r="B103" s="0" t="s">
        <v>281</v>
      </c>
      <c r="D103" s="0" t="s">
        <v>281</v>
      </c>
    </row>
    <row r="104" customFormat="false" ht="15" hidden="false" customHeight="false" outlineLevel="0" collapsed="false">
      <c r="A104" s="0" t="s">
        <v>245</v>
      </c>
      <c r="B104" s="0" t="s">
        <v>282</v>
      </c>
      <c r="C104" s="0" t="s">
        <v>59</v>
      </c>
      <c r="D104" s="0" t="s">
        <v>17</v>
      </c>
    </row>
    <row r="105" customFormat="false" ht="15" hidden="false" customHeight="false" outlineLevel="0" collapsed="false">
      <c r="A105" s="0" t="s">
        <v>249</v>
      </c>
      <c r="B105" s="0" t="s">
        <v>281</v>
      </c>
      <c r="D105" s="0" t="s">
        <v>281</v>
      </c>
    </row>
    <row r="106" customFormat="false" ht="15" hidden="false" customHeight="false" outlineLevel="0" collapsed="false">
      <c r="A106" s="0" t="s">
        <v>249</v>
      </c>
      <c r="B106" s="0" t="s">
        <v>282</v>
      </c>
      <c r="C106" s="0" t="s">
        <v>59</v>
      </c>
      <c r="D106" s="0" t="s">
        <v>17</v>
      </c>
    </row>
    <row r="107" customFormat="false" ht="15" hidden="false" customHeight="false" outlineLevel="0" collapsed="false">
      <c r="A107" s="0" t="s">
        <v>249</v>
      </c>
      <c r="B107" s="0" t="s">
        <v>283</v>
      </c>
      <c r="C107" s="0" t="s">
        <v>60</v>
      </c>
      <c r="D107" s="0" t="s">
        <v>30</v>
      </c>
    </row>
    <row r="108" customFormat="false" ht="15" hidden="false" customHeight="false" outlineLevel="0" collapsed="false">
      <c r="A108" s="0" t="s">
        <v>253</v>
      </c>
      <c r="B108" s="0" t="s">
        <v>281</v>
      </c>
      <c r="D108" s="0" t="s">
        <v>281</v>
      </c>
    </row>
    <row r="109" customFormat="false" ht="15" hidden="false" customHeight="false" outlineLevel="0" collapsed="false">
      <c r="A109" s="0" t="s">
        <v>253</v>
      </c>
      <c r="B109" s="0" t="s">
        <v>282</v>
      </c>
      <c r="C109" s="0" t="s">
        <v>22</v>
      </c>
      <c r="D109" s="0" t="s">
        <v>17</v>
      </c>
    </row>
    <row r="110" customFormat="false" ht="15" hidden="false" customHeight="false" outlineLevel="0" collapsed="false">
      <c r="A110" s="0" t="s">
        <v>257</v>
      </c>
      <c r="B110" s="0" t="s">
        <v>281</v>
      </c>
      <c r="D110" s="0" t="s">
        <v>281</v>
      </c>
    </row>
    <row r="111" customFormat="false" ht="15" hidden="false" customHeight="false" outlineLevel="0" collapsed="false">
      <c r="A111" s="0" t="s">
        <v>257</v>
      </c>
      <c r="B111" s="0" t="s">
        <v>282</v>
      </c>
      <c r="C111" s="0" t="s">
        <v>22</v>
      </c>
      <c r="D111" s="0" t="s">
        <v>17</v>
      </c>
    </row>
    <row r="112" customFormat="false" ht="15" hidden="false" customHeight="false" outlineLevel="0" collapsed="false">
      <c r="A112" s="0" t="s">
        <v>261</v>
      </c>
      <c r="B112" s="0" t="s">
        <v>281</v>
      </c>
      <c r="D112" s="0" t="s">
        <v>281</v>
      </c>
    </row>
    <row r="113" customFormat="false" ht="15" hidden="false" customHeight="false" outlineLevel="0" collapsed="false">
      <c r="A113" s="0" t="s">
        <v>261</v>
      </c>
      <c r="B113" s="0" t="s">
        <v>282</v>
      </c>
      <c r="C113" s="0" t="s">
        <v>22</v>
      </c>
      <c r="D113" s="0" t="s">
        <v>30</v>
      </c>
    </row>
    <row r="114" customFormat="false" ht="15" hidden="false" customHeight="false" outlineLevel="0" collapsed="false">
      <c r="A114" s="0" t="s">
        <v>266</v>
      </c>
      <c r="B114" s="0" t="s">
        <v>281</v>
      </c>
      <c r="D114" s="0" t="s">
        <v>281</v>
      </c>
    </row>
    <row r="115" customFormat="false" ht="15" hidden="false" customHeight="false" outlineLevel="0" collapsed="false">
      <c r="A115" s="0" t="s">
        <v>266</v>
      </c>
      <c r="B115" s="0" t="s">
        <v>282</v>
      </c>
      <c r="C115" s="0" t="s">
        <v>42</v>
      </c>
      <c r="D11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2" customFormat="false" ht="15" hidden="false" customHeight="false" outlineLevel="0" collapsed="false">
      <c r="B2" s="4" t="s">
        <v>285</v>
      </c>
    </row>
    <row r="4" customFormat="false" ht="15" hidden="false" customHeight="false" outlineLevel="0" collapsed="false">
      <c r="B4" s="1" t="s">
        <v>272</v>
      </c>
      <c r="C4" s="1" t="s">
        <v>286</v>
      </c>
      <c r="D4" s="1" t="s">
        <v>287</v>
      </c>
      <c r="E4" s="1" t="s">
        <v>288</v>
      </c>
    </row>
    <row r="5" customFormat="false" ht="15" hidden="false" customHeight="false" outlineLevel="0" collapsed="false">
      <c r="B5" s="0" t="s">
        <v>281</v>
      </c>
      <c r="C5" s="0" t="n">
        <f aca="false">COUNTIFS(Output!B:B,"blind",Output!F:F,"&lt;&gt;")</f>
        <v>0</v>
      </c>
      <c r="D5" s="0" t="str">
        <f aca="false">IFERROR(COUNTIFS(Output!B:B,"blind",Output!E:E,"PASS")/COUNTIFS(Output!B:B,"blind",Output!E:E,"&lt;&gt;"),"")</f>
        <v/>
      </c>
      <c r="E5" s="0" t="str">
        <f aca="false">IFERROR(AVERAGEIFS(Output!F:F,Output!B:B,"blind"),"")</f>
        <v/>
      </c>
    </row>
    <row r="6" customFormat="false" ht="15" hidden="false" customHeight="false" outlineLevel="0" collapsed="false">
      <c r="B6" s="0" t="s">
        <v>282</v>
      </c>
      <c r="C6" s="0" t="n">
        <f aca="false">COUNTIFS(Output!B:B,"matched",Output!F:F,"&lt;&gt;")</f>
        <v>0</v>
      </c>
      <c r="D6" s="0" t="str">
        <f aca="false">IFERROR(COUNTIFS(Output!B:B,"matched",Output!E:E,"PASS")/COUNTIFS(Output!B:B,"matched",Output!E:E,"&lt;&gt;"),"")</f>
        <v/>
      </c>
      <c r="E6" s="0" t="str">
        <f aca="false">IFERROR(AVERAGEIFS(Output!F:F,Output!B:B,"matched"),"")</f>
        <v/>
      </c>
    </row>
    <row r="7" customFormat="false" ht="15" hidden="false" customHeight="false" outlineLevel="0" collapsed="false">
      <c r="B7" s="0" t="s">
        <v>283</v>
      </c>
      <c r="C7" s="0" t="n">
        <f aca="false">COUNTIFS(Output!B:B,"heldout",Output!F:F,"&lt;&gt;")</f>
        <v>0</v>
      </c>
      <c r="D7" s="0" t="str">
        <f aca="false">IFERROR(COUNTIFS(Output!B:B,"heldout",Output!E:E,"PASS")/COUNTIFS(Output!B:B,"heldout",Output!E:E,"&lt;&gt;"),"")</f>
        <v/>
      </c>
      <c r="E7" s="0" t="str">
        <f aca="false">IFERROR(AVERAGEIFS(Output!F:F,Output!B:B,"heldout"),"")</f>
        <v/>
      </c>
    </row>
    <row r="8" customFormat="false" ht="15" hidden="false" customHeight="false" outlineLevel="0" collapsed="false">
      <c r="B8" s="0" t="s">
        <v>284</v>
      </c>
      <c r="C8" s="0" t="n">
        <f aca="false">COUNTIFS(Output!B:B,"uncovered",Output!F:F,"&lt;&gt;")</f>
        <v>0</v>
      </c>
      <c r="D8" s="0" t="str">
        <f aca="false">IFERROR(COUNTIFS(Output!B:B,"uncovered",Output!E:E,"PASS")/COUNTIFS(Output!B:B,"uncovered",Output!E:E,"&lt;&gt;"),"")</f>
        <v/>
      </c>
      <c r="E8" s="0" t="str">
        <f aca="false">IFERROR(AVERAGEIFS(Output!F:F,Output!B:B,"uncovered"),"")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2026-07-04T17:38:22Z</dcterms:created>
  <dc:creator>openpyxl</dc:creator>
  <dc:description/>
  <dc:language>en-US</dc:language>
  <cp:lastModifiedBy/>
  <dcterms:modified xsi:type="dcterms:W3CDTF">2026-07-04T17:38:22Z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